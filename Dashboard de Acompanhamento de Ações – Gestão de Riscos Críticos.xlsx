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871470B5-77B3-4F06-93E6-61D8AB1F2D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LANILHA FINAL" sheetId="3" r:id="rId1"/>
    <sheet name="Base de dados" sheetId="4" r:id="rId2"/>
    <sheet name="Calculos_Aux" sheetId="6" r:id="rId3"/>
    <sheet name="Dashboard" sheetId="5" r:id="rId4"/>
    <sheet name="Planilha1" sheetId="1" state="hidden" r:id="rId5"/>
    <sheet name="ELETRICIDADE" sheetId="2" state="hidden" r:id="rId6"/>
  </sheets>
  <definedNames>
    <definedName name="_xlnm._FilterDatabase" localSheetId="0" hidden="1">'PLANILHA FINAL'!$A$2:$K$122</definedName>
    <definedName name="_xlnm._FilterDatabase" localSheetId="4" hidden="1">Planilha1!$A$2:$M$160</definedName>
    <definedName name="_xlnm.Print_Area" localSheetId="3">Dashboard!$A$1:$U$43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" l="1"/>
  <c r="H3" i="4" l="1"/>
  <c r="E11" i="6"/>
  <c r="E10" i="6"/>
  <c r="E9" i="6"/>
  <c r="E8" i="6"/>
  <c r="E7" i="6"/>
  <c r="E6" i="6"/>
  <c r="E5" i="6"/>
  <c r="C30" i="3" l="1"/>
  <c r="C31" i="3" s="1"/>
  <c r="C41" i="3"/>
  <c r="C42" i="3" s="1"/>
  <c r="C54" i="3"/>
  <c r="C65" i="3"/>
  <c r="C66" i="3" s="1"/>
  <c r="C67" i="3" s="1"/>
  <c r="C75" i="3"/>
  <c r="C76" i="3" s="1"/>
  <c r="C88" i="3"/>
  <c r="C89" i="3" s="1"/>
  <c r="C102" i="3"/>
  <c r="C103" i="3" s="1"/>
  <c r="C112" i="3"/>
  <c r="C113" i="3" s="1"/>
  <c r="C114" i="3" s="1"/>
  <c r="C16" i="3"/>
  <c r="C17" i="3" s="1"/>
  <c r="C3" i="3"/>
  <c r="C4" i="3" s="1"/>
  <c r="C5" i="3" s="1"/>
  <c r="C8" i="4"/>
  <c r="C11" i="4"/>
  <c r="G11" i="4" s="1"/>
  <c r="C5" i="4"/>
  <c r="G5" i="4" s="1"/>
  <c r="C9" i="4"/>
  <c r="G9" i="4" s="1"/>
  <c r="C6" i="4"/>
  <c r="G6" i="4" s="1"/>
  <c r="C7" i="4"/>
  <c r="G7" i="4" s="1"/>
  <c r="C3" i="4"/>
  <c r="G3" i="4" s="1"/>
  <c r="C10" i="4"/>
  <c r="G10" i="4" s="1"/>
  <c r="C12" i="4"/>
  <c r="G12" i="4" s="1"/>
  <c r="C4" i="4"/>
  <c r="G4" i="4" s="1"/>
  <c r="J3" i="3"/>
  <c r="J4" i="3"/>
  <c r="J5" i="3"/>
  <c r="J6" i="3"/>
  <c r="G8" i="4" l="1"/>
  <c r="C90" i="3"/>
  <c r="C91" i="3" s="1"/>
  <c r="C68" i="3"/>
  <c r="C69" i="3" s="1"/>
  <c r="C32" i="3"/>
  <c r="C77" i="3"/>
  <c r="C115" i="3"/>
  <c r="C116" i="3" s="1"/>
  <c r="C104" i="3"/>
  <c r="C55" i="3"/>
  <c r="C43" i="3"/>
  <c r="C44" i="3" s="1"/>
  <c r="C18" i="3"/>
  <c r="C19" i="3" s="1"/>
  <c r="C20" i="3" s="1"/>
  <c r="C6" i="3"/>
  <c r="C7" i="3" s="1"/>
  <c r="E8" i="4"/>
  <c r="E7" i="4"/>
  <c r="E4" i="4"/>
  <c r="E3" i="4"/>
  <c r="E5" i="4"/>
  <c r="E11" i="4"/>
  <c r="D8" i="4"/>
  <c r="H8" i="4" s="1"/>
  <c r="F8" i="4"/>
  <c r="D7" i="4"/>
  <c r="H7" i="4" s="1"/>
  <c r="F7" i="4"/>
  <c r="D4" i="4"/>
  <c r="H4" i="4" s="1"/>
  <c r="F4" i="4"/>
  <c r="D12" i="4"/>
  <c r="H12" i="4" s="1"/>
  <c r="F12" i="4"/>
  <c r="D10" i="4"/>
  <c r="H10" i="4" s="1"/>
  <c r="F10" i="4"/>
  <c r="D3" i="4"/>
  <c r="F3" i="4"/>
  <c r="D6" i="4"/>
  <c r="H6" i="4" s="1"/>
  <c r="F6" i="4"/>
  <c r="D9" i="4"/>
  <c r="H9" i="4" s="1"/>
  <c r="F9" i="4"/>
  <c r="E12" i="4"/>
  <c r="E10" i="4"/>
  <c r="E6" i="4"/>
  <c r="E9" i="4"/>
  <c r="D5" i="4"/>
  <c r="H5" i="4" s="1"/>
  <c r="F5" i="4"/>
  <c r="D11" i="4"/>
  <c r="H11" i="4" s="1"/>
  <c r="F11" i="4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K3" i="1"/>
  <c r="K4" i="1"/>
  <c r="K160" i="1"/>
  <c r="K159" i="1"/>
  <c r="K158" i="1"/>
  <c r="K157" i="1"/>
  <c r="K156" i="1"/>
  <c r="K103" i="1"/>
  <c r="K102" i="1"/>
  <c r="K101" i="1"/>
  <c r="K100" i="1"/>
  <c r="K99" i="1"/>
  <c r="K98" i="1"/>
  <c r="K97" i="1"/>
  <c r="K96" i="1"/>
  <c r="K95" i="1"/>
  <c r="K94" i="1"/>
  <c r="K93" i="1"/>
  <c r="K92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J4" i="4" l="1"/>
  <c r="J8" i="4"/>
  <c r="J7" i="4"/>
  <c r="J3" i="4"/>
  <c r="C117" i="3"/>
  <c r="C118" i="3" s="1"/>
  <c r="C21" i="3"/>
  <c r="C22" i="3" s="1"/>
  <c r="C23" i="3" s="1"/>
  <c r="C33" i="3"/>
  <c r="C70" i="3"/>
  <c r="C71" i="3" s="1"/>
  <c r="C78" i="3"/>
  <c r="C92" i="3"/>
  <c r="C93" i="3" s="1"/>
  <c r="C105" i="3"/>
  <c r="C106" i="3" s="1"/>
  <c r="C56" i="3"/>
  <c r="C45" i="3"/>
  <c r="C46" i="3" s="1"/>
  <c r="C8" i="3"/>
  <c r="C9" i="3" s="1"/>
  <c r="C79" i="3" l="1"/>
  <c r="C80" i="3" s="1"/>
  <c r="C81" i="3" s="1"/>
  <c r="C82" i="3" s="1"/>
  <c r="C83" i="3" s="1"/>
  <c r="C119" i="3"/>
  <c r="C24" i="3"/>
  <c r="C25" i="3" s="1"/>
  <c r="C26" i="3" s="1"/>
  <c r="C72" i="3"/>
  <c r="C73" i="3" s="1"/>
  <c r="C74" i="3" s="1"/>
  <c r="C34" i="3"/>
  <c r="C94" i="3"/>
  <c r="C95" i="3" s="1"/>
  <c r="C47" i="3"/>
  <c r="C48" i="3" s="1"/>
  <c r="C107" i="3"/>
  <c r="C57" i="3"/>
  <c r="C10" i="3"/>
  <c r="C120" i="3" l="1"/>
  <c r="C121" i="3" s="1"/>
  <c r="C122" i="3" s="1"/>
  <c r="C84" i="3"/>
  <c r="C85" i="3" s="1"/>
  <c r="C86" i="3" s="1"/>
  <c r="C87" i="3" s="1"/>
  <c r="C96" i="3"/>
  <c r="C97" i="3" s="1"/>
  <c r="C27" i="3"/>
  <c r="C28" i="3" s="1"/>
  <c r="C29" i="3" s="1"/>
  <c r="C35" i="3"/>
  <c r="C36" i="3" s="1"/>
  <c r="C37" i="3" s="1"/>
  <c r="C49" i="3"/>
  <c r="C50" i="3" s="1"/>
  <c r="C51" i="3" s="1"/>
  <c r="C52" i="3" s="1"/>
  <c r="C53" i="3" s="1"/>
  <c r="C58" i="3"/>
  <c r="C59" i="3" s="1"/>
  <c r="C108" i="3"/>
  <c r="C109" i="3" s="1"/>
  <c r="C110" i="3" s="1"/>
  <c r="C11" i="3"/>
  <c r="C12" i="3" s="1"/>
  <c r="C98" i="3" l="1"/>
  <c r="C38" i="3"/>
  <c r="C39" i="3" s="1"/>
  <c r="C40" i="3" s="1"/>
  <c r="C111" i="3"/>
  <c r="C60" i="3"/>
  <c r="C61" i="3" s="1"/>
  <c r="C62" i="3" s="1"/>
  <c r="C63" i="3" s="1"/>
  <c r="C64" i="3" s="1"/>
  <c r="C13" i="3"/>
  <c r="C14" i="3" s="1"/>
  <c r="C15" i="3" s="1"/>
  <c r="C99" i="3" l="1"/>
  <c r="C100" i="3" l="1"/>
  <c r="C101" i="3" s="1"/>
</calcChain>
</file>

<file path=xl/sharedStrings.xml><?xml version="1.0" encoding="utf-8"?>
<sst xmlns="http://schemas.openxmlformats.org/spreadsheetml/2006/main" count="1108" uniqueCount="257">
  <si>
    <t xml:space="preserve">Plano de Ação  Autodignóstico de Atendimento dos Riscos Críticos 
Unidade | Três Marias </t>
  </si>
  <si>
    <t xml:space="preserve">Ítem </t>
  </si>
  <si>
    <t xml:space="preserve">Risco Crítico </t>
  </si>
  <si>
    <t>Número do Requisito no protocolo</t>
  </si>
  <si>
    <t>Categoria do Requisito</t>
  </si>
  <si>
    <t xml:space="preserve">Ação </t>
  </si>
  <si>
    <t xml:space="preserve">Área Priorizada </t>
  </si>
  <si>
    <t>Prazo 
Área priorizada</t>
  </si>
  <si>
    <t xml:space="preserve">Prazo 
Toda Unidade </t>
  </si>
  <si>
    <t xml:space="preserve">Responsável </t>
  </si>
  <si>
    <t xml:space="preserve">Status </t>
  </si>
  <si>
    <t xml:space="preserve">Necessário CAPEX 
Investimento? </t>
  </si>
  <si>
    <t xml:space="preserve">Observações </t>
  </si>
  <si>
    <t>Equip. Móveis</t>
  </si>
  <si>
    <t xml:space="preserve">Instalações e Equipamentos </t>
  </si>
  <si>
    <t>Possui 91 equipamentos mobilizados, sendo que somente 1 que está com mais de 15 anos. Ação: Adequar veículo que está com mais de 15 anos de utilização, PH Intralogistica.</t>
  </si>
  <si>
    <t>xxxxxxxxxxxxxxxxxxx</t>
  </si>
  <si>
    <t>xxxxxxxxxxxx</t>
  </si>
  <si>
    <t>Andamento</t>
  </si>
  <si>
    <t>NÂO</t>
  </si>
  <si>
    <t>xxxxxxx</t>
  </si>
  <si>
    <t xml:space="preserve">Pessoas </t>
  </si>
  <si>
    <t>Trabalho em Altura</t>
  </si>
  <si>
    <t>SIM</t>
  </si>
  <si>
    <t xml:space="preserve">Equipamento Bob Cat, tag: MPC-035, não possui cabine climatizada. Ação adequar e ou substituir equipamento TAG MPC-035 com cabine climatizada, PH Intralogistica.
</t>
  </si>
  <si>
    <t>Concluído</t>
  </si>
  <si>
    <t>Atrasado</t>
  </si>
  <si>
    <t xml:space="preserve"> Não possui rádio de comunicação em todos equipamentos; Ação: Adequar rádio de comunicação em todos equipamentos móveis, PH Intralogistica.</t>
  </si>
  <si>
    <t>Procedimento/Gestão</t>
  </si>
  <si>
    <t>Metal Líquido</t>
  </si>
  <si>
    <t>Plano de transito, Item em andamento, considerar trabalho da Unidade em andamento. Ação: Adequar plano de transito da Unidade.</t>
  </si>
  <si>
    <t xml:space="preserve">Veículos Automotores </t>
  </si>
  <si>
    <t>Atualmente 65% dos veículos da PH possuem sensor de fadiga, estão ligados a atividade de remoção e os demais 35% não possuem controle. Ação:  Implantart sistema de fadiga nos equipamentos vinculados ao contrato, PH Intralogistica.</t>
  </si>
  <si>
    <t>Espaço Confinado</t>
  </si>
  <si>
    <t>Atualmente a empresa não possui equipamento para manipular pneus, atualmente se faz de forma manual.Ação: Adequar sistema para minipulação de pneu, PH Instralogistica.</t>
  </si>
  <si>
    <t xml:space="preserve">Liberação de Energia </t>
  </si>
  <si>
    <t>Necessário avaliar o controle do inventário de espaços confinados e as respectivas Fichas de Caracterização de Espaço Confinado, garantindo que estejam atualizados, completos e em conformidade com os requisitos aplicáveis.</t>
  </si>
  <si>
    <t xml:space="preserve">Metalurgia </t>
  </si>
  <si>
    <t>Gabriel Alves De Oliveira Silva</t>
  </si>
  <si>
    <t>Realizar a revisão do inventário de espaços confinados, garantindo que cada espaço confinado possua plano de resgate definido e devidamente vinculado ao respectivo cadastro, considerando suas características, riscos, acessos e condições para realização do resgate.</t>
  </si>
  <si>
    <t xml:space="preserve">Hidrometalurgia </t>
  </si>
  <si>
    <t xml:space="preserve">Larissa Tamires Pereira Rufino </t>
  </si>
  <si>
    <t xml:space="preserve">Necessário contratação de uma empresa para levantemento dos dados </t>
  </si>
  <si>
    <t>Carga Suspensa</t>
  </si>
  <si>
    <t>Necessário identificar o espaço confinado com TAG, garantindo sua rastreabilidade e vinculação ao inventário e à Ficha de Caracterização de Espaço Confinado.</t>
  </si>
  <si>
    <t xml:space="preserve">Gilton Moreira Da Silva </t>
  </si>
  <si>
    <t>Eletricidade</t>
  </si>
  <si>
    <t>Revisar o procedimento de limpeza das células, contemplando a atividade de retirada e coleta de resíduos acumulados no interior da célula, incluindo as etapas, riscos e controles necessários para sua execução, como isolamento e sinalização da área e avaliação da necessidade de utilização do sistema de exaustão.</t>
  </si>
  <si>
    <t>Eletrólise sala D</t>
  </si>
  <si>
    <t>Sistemas Pressurizados</t>
  </si>
  <si>
    <t xml:space="preserve">Reestabelecer gestão de cargas suspensas contemplando inventário e projetos dos equipamento e acessórios </t>
  </si>
  <si>
    <t xml:space="preserve">Eletrólise </t>
  </si>
  <si>
    <t xml:space="preserve">Á definir </t>
  </si>
  <si>
    <t xml:space="preserve">Facilitadores de área </t>
  </si>
  <si>
    <t xml:space="preserve">Propor forúm interno para avaliar a instalação de controle remoto para as talhas eletricas da na unidade </t>
  </si>
  <si>
    <t>Richard Silva</t>
  </si>
  <si>
    <t>Realizar estudo para adequar as talhas e pontes conforme norma (Item 17)</t>
  </si>
  <si>
    <t>Prod.Quim.Perigosos</t>
  </si>
  <si>
    <t>Definir e divulgar padrão para controle de documentos (controle de arquivamento de check list´s)</t>
  </si>
  <si>
    <t>SSO</t>
  </si>
  <si>
    <t>Marcelo Magalhães ( com apoio da gestão - CBI)</t>
  </si>
  <si>
    <t xml:space="preserve">Avaliar e incluir  no plano plurianual de inventimentos da Unidade associado a iniciativa já existente de adequações da NR-10 ( Retroalimentar o processo) - Adequação das Sala Elétrica da Cal / Bandeijamento danificados / corridos sala elétrica da filtração e presença de infiltração na mesma e adequação da climatização da mesma </t>
  </si>
  <si>
    <t>Sala Elétrica da Cal - Efluentes
Sala Elétrica - Filtração</t>
  </si>
  <si>
    <t>Ver plano de investimentos NR-10</t>
  </si>
  <si>
    <t xml:space="preserve">Adelmo Nogueira </t>
  </si>
  <si>
    <t xml:space="preserve">Plano de adequação já em andamento. Equipe de Sustaining atuando na Fundição de Borras e Lucas irá atualizar o cronograma da Unidade, mas requer inserir este pontos </t>
  </si>
  <si>
    <t xml:space="preserve"> Fazer avaliação in loco com time de PCM para implementar ação de contigência referente a infiltração na sala elétrica da Filtração de Zinco  </t>
  </si>
  <si>
    <t>Sala Elétrica - Filtração</t>
  </si>
  <si>
    <t xml:space="preserve">30 dias </t>
  </si>
  <si>
    <t>NA</t>
  </si>
  <si>
    <t xml:space="preserve">Thiago Alves </t>
  </si>
  <si>
    <t xml:space="preserve">Disponibilizar diagramas elétricos nas salas elétricas  - Ausente na Sala Elétrica da Cal - Efluentes </t>
  </si>
  <si>
    <t xml:space="preserve">Sala Elétrica da Cal - Efluentes
</t>
  </si>
  <si>
    <t xml:space="preserve">15 dias </t>
  </si>
  <si>
    <t>Partindo da premissa de diagramas existentes</t>
  </si>
  <si>
    <t>Solicitar inserção no relatório da empresa contrata para fazer teste de equipamentos / Instrumentos de tópico com registro da inutilização e destinação dos equipamentos e instrumentos que não passarem nos testes funcionais - Tópico ausente no relatório 2025</t>
  </si>
  <si>
    <t xml:space="preserve">Subestaçao Eletrica Principal </t>
  </si>
  <si>
    <t>Imediato</t>
  </si>
  <si>
    <t xml:space="preserve">Luís Felipe </t>
  </si>
  <si>
    <t>Luís já solicitou a empresa PPI que fará os testes - Agosto 2026</t>
  </si>
  <si>
    <t xml:space="preserve">Mesma trativa item 1 </t>
  </si>
  <si>
    <t xml:space="preserve">Plano de adequação já em andamento. Equipe de Sustaining atuando no tema irá atualizar o cronograma de investimentos da Unidade, mas requer inserir este pontos </t>
  </si>
  <si>
    <t xml:space="preserve">Concluir estudo de áreas classificadas da Unidade </t>
  </si>
  <si>
    <t>Purificação / Fundição / OZ e ET</t>
  </si>
  <si>
    <t>Ver plano de investimentos NR-20</t>
  </si>
  <si>
    <t xml:space="preserve">Lucas Borges </t>
  </si>
  <si>
    <t>Mesma trativa item 3</t>
  </si>
  <si>
    <t xml:space="preserve">Divulgar periodicamente em DDS e/ou Comitê de instalaçoes elétrica tema especifico referente a localização do prontuário de instalações elétrica </t>
  </si>
  <si>
    <t>Equipe Elétrica Unidade</t>
  </si>
  <si>
    <t>Revisitar projeto de adequação de SPDA da Unidade - São 22 pontos SPDA que são avaliados via planos do SAP, porém existe em andamento plano de adequação do SPDA.</t>
  </si>
  <si>
    <t>Seguir planejamento priorização da Unidade</t>
  </si>
  <si>
    <t xml:space="preserve">Ação de Contigência - Revisitar procedimentos de manutenção  áreas criticas da Unidade e inserir cuidados sobre atividades em áreas classificadas baseado nas informações existentes </t>
  </si>
  <si>
    <t>45 dias</t>
  </si>
  <si>
    <t xml:space="preserve">Luis Felipe </t>
  </si>
  <si>
    <t>Ação definitiva - Concluir estudo de áreas classificadas da Unidade para posterior revisão dos procedimentos de manutenção</t>
  </si>
  <si>
    <t xml:space="preserve"> Implementar diretriz de nova (APR/IPERC)  de acordo com a OPS de segurança da Unidade</t>
  </si>
  <si>
    <t>Eletrólise / Turno Letra C - Manutenção</t>
  </si>
  <si>
    <t xml:space="preserve">Tiago Henrique </t>
  </si>
  <si>
    <t>Avaliar e incluir  no plano plurianual de inventimentos da Unidade associado a iniciativa já existente de adequações da NR-10 ( Retroalimentar o processo) - ) as-built / desenhos de linhas subterrâneas não exitem de forma sistematizada e disponiveis para consulta de todos executantes.</t>
  </si>
  <si>
    <t>Avaliar e incluir  no plano plurianual de inventimentos da Unidade associado a iniciativa já existente de adequações da NR-10 ( Retroalimentar o processo) - Adequação das Sala Elétrica da Cal - Efluentes - Não apresenta condições técnicas adequadas para bloqueio e teste de energia zero de acordo com as práticas seguras previstas</t>
  </si>
  <si>
    <t>Nos processo de bloqueio o protocolo traz a premissa de Permissões para trabalho validas por um dia -  Implementar processo de PETAR que esta mapeado dentro da OPS de Segurança 2026</t>
  </si>
  <si>
    <t xml:space="preserve">Unidade </t>
  </si>
  <si>
    <t xml:space="preserve">60 dias </t>
  </si>
  <si>
    <t>Nos processo de bloqueio o protocolo traz a premissa de check para Restabelecimento de Energia -  Analisar criticamente procedimento de bloqueio da Unidade e cuidados ainda não descritos no mesmo</t>
  </si>
  <si>
    <t xml:space="preserve">José Luiz </t>
  </si>
  <si>
    <t>Concluir projeto de automatização de crachá para atender ao requisito do protocolo referente a data de treinamento nos crachás de autorização para trabalho para equipe de elétrica - Será feito via QR code</t>
  </si>
  <si>
    <t>Any</t>
  </si>
  <si>
    <t>Identificar e difundir a DD-TM-SSM-GST-102-PT-Tabela de Incompatibilidade Química, conforme procedimento específico PGU-TM-SSM-GST-024-PT - Gestão de Produtos Quimicos</t>
  </si>
  <si>
    <t>Fábrica de Ácido</t>
  </si>
  <si>
    <t>Hemilly Aparecida Pereira Gomes</t>
  </si>
  <si>
    <t>Divulgar a Tabela de Incompatibilidade Química</t>
  </si>
  <si>
    <t>Inserir a Tabela de Incompatibilidade Química no Treinamento de Ambientação para novos parceiros e novos empregados</t>
  </si>
  <si>
    <t>DHO - Treinamentos</t>
  </si>
  <si>
    <t>Daisy Cordeiro</t>
  </si>
  <si>
    <t>Inserindo a tabela no material padrão de treinamentos</t>
  </si>
  <si>
    <t>Solicitar estudo de SPDA, para as unidades que armazenam produtos químicos inflamáveis</t>
  </si>
  <si>
    <t>Fábrica de Ácidos - tanque de armazenamento de diesel</t>
  </si>
  <si>
    <t>Luis Felipe Pereira</t>
  </si>
  <si>
    <t>Ação contida no Protocolo de Atividades Críticas para Energia</t>
  </si>
  <si>
    <t xml:space="preserve">Instalar tranca no armazenamento de produtos controlados </t>
  </si>
  <si>
    <t>Laboratório Central - Armazenamento de Inflamáveis</t>
  </si>
  <si>
    <t>Raimundo Lima</t>
  </si>
  <si>
    <t>Armario de Inflamáveis possui tranca, mas estava destrancado</t>
  </si>
  <si>
    <t>Divulgar a necessidade de manter chuveiros lava olhos, Diphoterine, e demais recursos de emergência bem sinalizados e com acesso desbloqueados</t>
  </si>
  <si>
    <t>Almoxarifado de Produtos Químicos</t>
  </si>
  <si>
    <t>Anaur Teixeira</t>
  </si>
  <si>
    <t>Providenciar uma sinalização no piso e parede para manter acessos desobstruídos</t>
  </si>
  <si>
    <t>Fazer estudo de dissipação de vazamento de gases</t>
  </si>
  <si>
    <t>Fábrica de Ácidos e Ustulação</t>
  </si>
  <si>
    <t>Geraldo Cardoso</t>
  </si>
  <si>
    <t>Estudo de Dissipação de vazamento de gases para priorizar a aquisição e instalação de medidores fixos</t>
  </si>
  <si>
    <t>Revisar projeto de capela e sistema de ventilação do laboratório químico central, dotando o equipamento com capela de exaustão com ativação automática e controle do fluxo do ventilador de exaustão.</t>
  </si>
  <si>
    <t>Laboratório Químico Central</t>
  </si>
  <si>
    <t>Providenciar sistemática de controle de acesso, nos locais onde se armazenam produtos químicos controlados por agencias reguladoras</t>
  </si>
  <si>
    <t>Sistemática onde o controle de entrada se dê com identificação da pessoa, antes e depois do acesso aos produtos químicos, sendo possível resgatar o backlog</t>
  </si>
  <si>
    <t>Bacia de decantação e coleta de resíduos, nas áreas de armazenamento, estão danificadas. Promover correção das contenções</t>
  </si>
  <si>
    <t xml:space="preserve">Identificação </t>
  </si>
  <si>
    <t>Padronizar o acesso aos produtos inflamaveis e estocagem de pqeuenas e grandes quantidades em armários corta-fogo, definindo quantidades máximas para armazenamento dentro destes armários</t>
  </si>
  <si>
    <t>No almoxarifado há um local restrito com chaves e controle de acesso. Entretanto, haviam químicos inflamáveis armazenados fora deste ambiente</t>
  </si>
  <si>
    <t>Desenvolver plano para atualização da sinalização conforme GHS, contemplando direcionamento do fluxo e cor do químico</t>
  </si>
  <si>
    <t>Elaborar propostas de metodologias de análise de risco para novos químicos e incluir no procedimento de gestão de químicos da unidade</t>
  </si>
  <si>
    <t>Toda a Unidade</t>
  </si>
  <si>
    <t>Euds Max de Souza</t>
  </si>
  <si>
    <t>Trazer a proposta de utilização da análise por banda de perigo e oficializar no procedimento de gestão de produtos químicos</t>
  </si>
  <si>
    <t>Elaborar campanha de treinamentos, divulgação e aplicação da gestão de mudanças para novos produtos químicos e aquisições de químicos e/ou concentrados</t>
  </si>
  <si>
    <t>Diana, Cisley e Euds</t>
  </si>
  <si>
    <t>Melhoria na tabela de incompatibilidade, de forma a ser vista e entendida mesmo por pessoas não treinandas ou sem conhecimento sobre produtos químicos</t>
  </si>
  <si>
    <t xml:space="preserve">Ver com Geraldinho...... Ver se era o processo de ligar os maçaricos </t>
  </si>
  <si>
    <t>Ações do plano ação perda de Nível do balão em aberto (HPI DA Unidade). Previsão Agosto /2026 na parada Ustulação.</t>
  </si>
  <si>
    <t>Visor de nível fisico da caldeira Ustulação inoperante(caldeirin).</t>
  </si>
  <si>
    <t>Valvula de entrada da bomba de alimentação (turbinada), realizada sem gestão de mudança, item mapeado no plano de ação da ocorrência de perda de nível do balão da Caldeira (HPI)</t>
  </si>
  <si>
    <t>Possui vasos de pressão com inspeção em aberto para realização.</t>
  </si>
  <si>
    <t>Possui vasos de pressão com oportunidade de documentação.</t>
  </si>
  <si>
    <t>Possui vasos de pressão com inspeção em aberto para realização</t>
  </si>
  <si>
    <t>Há reparos realizados  pela manutenção operacional sem o envolvimento Do PLH.</t>
  </si>
  <si>
    <t>Possui oportunidades nos registros inspeção de vazamentos dos sistemas pressurizados ( Produtos Perigosos Ustulação).</t>
  </si>
  <si>
    <t xml:space="preserve"> Possui oportunidades nas inspeção dos sistemas pressurizados da Autoclaves.</t>
  </si>
  <si>
    <t>Há oportunidades nos planos de manutenção como um todo na planta.</t>
  </si>
  <si>
    <t>Temos os projetos, memorial de calculos, porém a ART assinada pelo Engenheiro está vencida</t>
  </si>
  <si>
    <t>SOMENTE ALGUNS SETORES POSSUI LINHAS DE VIDA NA VERTICAL (Laboratorio / Caldeira Aalborg)</t>
  </si>
  <si>
    <t xml:space="preserve">ATUALMENTE AS FERRAMENTAS  UTILIZADAS   AMARRADAS,  SÃO AS FERRAMENTAS MANUAIS  </t>
  </si>
  <si>
    <t>Não foi apresentado a PPT da atividade desenvolvida!</t>
  </si>
  <si>
    <t>No momento não portava identificação mas o mesmo tem ela.</t>
  </si>
  <si>
    <t>Dispositios de bloqueio exemplo caixas, danificadas!</t>
  </si>
  <si>
    <t>Não foi apresentado a matriz atualizada.</t>
  </si>
  <si>
    <t>Falta apresentar matriz, numero total de pontos de bloqueio, imagem do sistema de bloqueio.</t>
  </si>
  <si>
    <t>Procedimento operacional contendo passo de bloqueio e fontes.</t>
  </si>
  <si>
    <t>Hoje não temos a permissão de trabalho especial, somente PO ou PPT mas nem sempre consta passo a passo do bloqueio.</t>
  </si>
  <si>
    <t>Não tem um PO descritivo de equipamentos fora da matriz de bloqueio, como deve proceder!</t>
  </si>
  <si>
    <t>A empresa 3M não possui um programa de controle de fadiga  e sonolência para gestão do tema.</t>
  </si>
  <si>
    <t>A empresa PH não possui um programa de controle de fadiga  e sonolência para gestão do tema.</t>
  </si>
  <si>
    <t>Os certificados atuais empresas 3M, PH não demosntram competencias sobre: 
● Manobras de marcha à ré
● Monitoramento de ponto cego
● Estacionamento seguro.</t>
  </si>
  <si>
    <t>Empresa PH e 3M não faz gestão dos riscos: 
b) A autorização para conduzir está sujeita ao desempenho do condutor.
c) Deve ser implementado um sistema de avaliação permanente com base em:
● Comportamento ao volante
● Cumprimento das normas internas de trânsito
d) Condutores com histórico de incidentes que envolvam danos materiais devem ser submetidos a:
● Avaliação prática obrigatória
● Reciclagem específica
e) Em caso de reincidência, serão aplicadas medidas progressivas:
● Restrição temporária de condução
● Suspensão da autorização
● Revogação permanente da autorização com base na avaliação de risco</t>
  </si>
  <si>
    <t>A empresa 3M não possui um programa de controle de fadiga  e sonolência para gestão do tema</t>
  </si>
  <si>
    <t>1- Faixa refletiva do caminhão ilegivel, placa QDG-3D15;
2- Caminhão QDG-3D15;, não possui Air Bag;
3- Caminhão QDG-3D15;, não possui cinto tres pontos para todos ocupantes;
4- Caminhão QDG-3D15;, não possui encosto de cabeça para todos ocupantes ;
5- Extintor de incendio caminhão QDG-3D15;N, com data de validade ilegivel;
6- Parabirisa inquebravel.</t>
  </si>
  <si>
    <t>Caminhão QDG-3D15, realizado alteração cabine para transporte de pessoas, pelo documento pode transportar 9 pessoas e só possuem bancos para 8 pessoas.</t>
  </si>
  <si>
    <t>Caminhão QDG-3D15 para transporte de pessoas, sendo utilizada bagagens junto com transporte de pessoas.</t>
  </si>
  <si>
    <t>Item em andamento, considerar trabalho da Unidade em andamento.</t>
  </si>
  <si>
    <t>A empresa possui plano de manutenção dos veículo e o mesmo está vinculado a liberação do selo. Porem não Há detalhamento e ou exigencia dos itens a serem inspecionado e substituido conforme exigência do fabricante.</t>
  </si>
  <si>
    <t>A empresa utiliza o check-list para verificação dos itens, incluindo criticidade de acordo com os itens, possui tacografo. Porém não um roteiro definido considerados de acordo com seu risco.</t>
  </si>
  <si>
    <t xml:space="preserve">Lançar gerenciamentod e mudanças do flotador do Demag 4 no Siclope </t>
  </si>
  <si>
    <t>Fundição de Zn</t>
  </si>
  <si>
    <t>Jose Roberto</t>
  </si>
  <si>
    <t xml:space="preserve">
Melhorar sinalização das vias de trânsito da empilhadeira de metal líquido
Atualmente, a via principal possui mão direcionada para o transporte de metal líquido, minimizando proximidade pedestres x metal fundido (Revisar o procedimento Operacional de transporte metal lquiquido)</t>
  </si>
  <si>
    <t>Camila</t>
  </si>
  <si>
    <t>Adequar sinalização do risco critico metal liquido nas avenida central</t>
  </si>
  <si>
    <t>Inserir no procedimento operacional de transporte metal liquido a distância minima entre  empilhadeira e pedestre</t>
  </si>
  <si>
    <t>Fundição de Zinco/Óxido de Zinco/ Fundição de Borras</t>
  </si>
  <si>
    <t>Revisar procedimento operacional de tranporte metal liquido - inserindo a distância minima entre empilhadeira e pedestres</t>
  </si>
  <si>
    <t xml:space="preserve">Avaliar viabilidade de implementação de termopares nos fornos do óxido de Zinco </t>
  </si>
  <si>
    <t>Óxido de Zinco</t>
  </si>
  <si>
    <t xml:space="preserve">Instalar termopar nos fornos do óxido de zinco </t>
  </si>
  <si>
    <t>Consultar responsável fb</t>
  </si>
  <si>
    <t xml:space="preserve">a) Avaliação das condições das mangas do despoeiramento de secundário do Oz e troca das mesmas se necessário
c) Realizar estudo técnico para diagnóstico e viabilidade
</t>
  </si>
  <si>
    <t>- Realizar estudo estrutural para contenção/direcionamento de eventuais vazamentos de Zn líquido nas áreas de fornos</t>
  </si>
  <si>
    <t>Jose Roberto avaliar</t>
  </si>
  <si>
    <t>Reforçar controles de acesso incluindo premissas nos procedimentos
Implementar controle visual para identificação de pessoas autorizadas (sinalização nos capacetes)</t>
  </si>
  <si>
    <t>Instalar controle de acesso as areas da fundição de zinco, Óxido de zinco e Fundição de Borras</t>
  </si>
  <si>
    <t>Revitalizar sinalizações dentro da área dos fornos</t>
  </si>
  <si>
    <t>Atualizar inventario</t>
  </si>
  <si>
    <t>Piso na area das lingoteiras de jumbo dos fornos Demag 2 e 5 com acumulo de agua devido obstrução das canaletas</t>
  </si>
  <si>
    <t>Fazer adequação no piso  das lingoteiraspara melhor escoamento da agua</t>
  </si>
  <si>
    <t>xxxxxxxxxxxxxxxxxxxxxxxxxxxxxxxxxxxxxxxxxxxxxxxxxxxxxxxxx</t>
  </si>
  <si>
    <t xml:space="preserve">Ustulação </t>
  </si>
  <si>
    <t xml:space="preserve">Engenharia de Manutenção </t>
  </si>
  <si>
    <t xml:space="preserve">Cicero Ferreira Barros </t>
  </si>
  <si>
    <t xml:space="preserve">Contratatadas </t>
  </si>
  <si>
    <t>30/10/20226</t>
  </si>
  <si>
    <t>Luciano 3M</t>
  </si>
  <si>
    <t xml:space="preserve">Claudio Marcio </t>
  </si>
  <si>
    <t>Claudio Marcio / Luciano 3M</t>
  </si>
  <si>
    <t>30/08/20226</t>
  </si>
  <si>
    <t xml:space="preserve">Nexa </t>
  </si>
  <si>
    <t>Johne Maicon</t>
  </si>
  <si>
    <t>Os veículos abordados estão com os pneus em boas condições e estão dentro da validade. Porém não há uma gestão /controles para esse tema.</t>
  </si>
  <si>
    <t>Confeccionar PETAR e PPT para as atividades eletricas.</t>
  </si>
  <si>
    <t>Oficial de bloqueio identificando o mesmo (nome, area, faixa do radio)</t>
  </si>
  <si>
    <t>Realizar reforma no quadro de fixação de bloqueio</t>
  </si>
  <si>
    <t>Matriz de bloqueio com forto facil visualização. Sugestão além do livro da matriz confecionar placas e colocar ao lado dos equipamentos.</t>
  </si>
  <si>
    <t>Confecionar procedimento operacional contndo fontes de bloqueio e passo a passo.</t>
  </si>
  <si>
    <t>Falta de PO de restabelecimento de energia com passo a passo.</t>
  </si>
  <si>
    <t>Eletrolise Sala B, D, Gesso</t>
  </si>
  <si>
    <t>Sera realizado os projetos assinados pela enpresa especializada e feita as adequaçoes nas linhas de Vida Conforme Praojeto estabelecido</t>
  </si>
  <si>
    <t>Lucas Borjes</t>
  </si>
  <si>
    <t>Sera contratada uma enpresa especializada para fazer levantamento da necessidade conforme estabelecido em normas</t>
  </si>
  <si>
    <t>Veículos Automotores</t>
  </si>
  <si>
    <t>Produtos Químicos Perigosos</t>
  </si>
  <si>
    <t>Liberação de Energia</t>
  </si>
  <si>
    <t>Á DEFINIR</t>
  </si>
  <si>
    <t xml:space="preserve">Item </t>
  </si>
  <si>
    <r>
      <t>Trabalho em Altura</t>
    </r>
    <r>
      <rPr>
        <b/>
        <sz val="10"/>
        <color rgb="FFFF0000"/>
        <rFont val="Aptos Narrow"/>
        <family val="2"/>
        <scheme val="minor"/>
      </rPr>
      <t>*</t>
    </r>
  </si>
  <si>
    <r>
      <t>Carga Suspensa</t>
    </r>
    <r>
      <rPr>
        <b/>
        <sz val="10"/>
        <color rgb="FFFF0000"/>
        <rFont val="Aptos Narrow"/>
        <family val="2"/>
        <scheme val="minor"/>
      </rPr>
      <t>*</t>
    </r>
  </si>
  <si>
    <r>
      <t>Metal Líquido</t>
    </r>
    <r>
      <rPr>
        <b/>
        <sz val="10"/>
        <color rgb="FFFF0000"/>
        <rFont val="Aptos Narrow"/>
        <family val="2"/>
        <scheme val="minor"/>
      </rPr>
      <t>*</t>
    </r>
  </si>
  <si>
    <r>
      <t>Sistemas Pressurizados</t>
    </r>
    <r>
      <rPr>
        <b/>
        <sz val="10"/>
        <color rgb="FFFF0000"/>
        <rFont val="Aptos Narrow"/>
        <family val="2"/>
        <scheme val="minor"/>
      </rPr>
      <t>*</t>
    </r>
  </si>
  <si>
    <r>
      <t>Equipamentos Móveis</t>
    </r>
    <r>
      <rPr>
        <b/>
        <sz val="10"/>
        <color rgb="FFFF0000"/>
        <rFont val="Aptos Narrow"/>
        <family val="2"/>
        <scheme val="minor"/>
      </rPr>
      <t>*</t>
    </r>
  </si>
  <si>
    <t>Nº do Requisito no protocolo</t>
  </si>
  <si>
    <t>Risco crítico</t>
  </si>
  <si>
    <t>Total</t>
  </si>
  <si>
    <t>Vencido</t>
  </si>
  <si>
    <t>Total_Rótulo</t>
  </si>
  <si>
    <t>Trabalho em Altura*</t>
  </si>
  <si>
    <t>Carga Suspensa*</t>
  </si>
  <si>
    <t>Metal Líquido*</t>
  </si>
  <si>
    <t>Sistemas Pressurizados*</t>
  </si>
  <si>
    <t>Equipamentos Móveis*</t>
  </si>
  <si>
    <t>Indicador</t>
  </si>
  <si>
    <t>Valor</t>
  </si>
  <si>
    <t>Total de Ações</t>
  </si>
  <si>
    <t>Concluídas</t>
  </si>
  <si>
    <t>Em Andamento</t>
  </si>
  <si>
    <t>Vencidas</t>
  </si>
  <si>
    <t>% Conclusão</t>
  </si>
  <si>
    <t>% Atraso</t>
  </si>
  <si>
    <t>% Andamento</t>
  </si>
  <si>
    <t>Conclusão</t>
  </si>
  <si>
    <t>Riscos sem conclusão</t>
  </si>
  <si>
    <t>Riscos com conclusão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</si>
</sst>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0"/>
      <name val="Aptos Narrow"/>
      <charset val="134"/>
      <scheme val="minor"/>
    </font>
    <font>
      <sz val="14"/>
      <color rgb="FFFFC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89F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5" fontId="6" fillId="0" borderId="4" xfId="0" applyNumberFormat="1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14" fontId="9" fillId="2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top" wrapText="1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15" fontId="9" fillId="0" borderId="4" xfId="0" applyNumberFormat="1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1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1" applyNumberFormat="1" applyFont="1" applyAlignment="1">
      <alignment horizontal="right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14" fontId="2" fillId="0" borderId="0" xfId="0" applyNumberFormat="1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9">
    <dxf>
      <numFmt numFmtId="164" formatCode="0.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Status</a:t>
            </a:r>
            <a:r>
              <a:rPr lang="pt-BR" b="1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das Ações por Risco Crítico</a:t>
            </a:r>
            <a:endParaRPr lang="pt-BR" b="1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3491885016079474"/>
          <c:y val="3.44530577088716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'Base de dados'!$D$2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221124682421578E-3"/>
                  <c:y val="-7.561297347005193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91-4630-AC7C-37946E27DFF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91-4630-AC7C-37946E27DFF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91-4630-AC7C-37946E27D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dados'!$B$3:$B$12</c:f>
              <c:strCache>
                <c:ptCount val="10"/>
                <c:pt idx="0">
                  <c:v>Espaço Confinado</c:v>
                </c:pt>
                <c:pt idx="1">
                  <c:v>Produtos Químicos Perigosos</c:v>
                </c:pt>
                <c:pt idx="2">
                  <c:v>Metal Líquido*</c:v>
                </c:pt>
                <c:pt idx="3">
                  <c:v>Equipamentos Móveis*</c:v>
                </c:pt>
                <c:pt idx="4">
                  <c:v>Liberação de Energia</c:v>
                </c:pt>
                <c:pt idx="5">
                  <c:v>Trabalho em Altura*</c:v>
                </c:pt>
                <c:pt idx="6">
                  <c:v>Sistemas Pressurizados*</c:v>
                </c:pt>
                <c:pt idx="7">
                  <c:v>Veículos Automotores</c:v>
                </c:pt>
                <c:pt idx="8">
                  <c:v>Carga Suspensa*</c:v>
                </c:pt>
                <c:pt idx="9">
                  <c:v>Eletricidade</c:v>
                </c:pt>
              </c:strCache>
            </c:strRef>
          </c:cat>
          <c:val>
            <c:numRef>
              <c:f>'Base de dados'!$D$3:$D$12</c:f>
              <c:numCache>
                <c:formatCode>0.0%</c:formatCode>
                <c:ptCount val="10"/>
                <c:pt idx="0">
                  <c:v>0.6</c:v>
                </c:pt>
                <c:pt idx="1">
                  <c:v>1</c:v>
                </c:pt>
                <c:pt idx="2">
                  <c:v>0.27272727272727271</c:v>
                </c:pt>
                <c:pt idx="3">
                  <c:v>0.63636363636363635</c:v>
                </c:pt>
                <c:pt idx="4">
                  <c:v>0.27272727272727271</c:v>
                </c:pt>
                <c:pt idx="5">
                  <c:v>0.38461538461538464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91-4630-AC7C-37946E27DFFC}"/>
            </c:ext>
          </c:extLst>
        </c:ser>
        <c:ser>
          <c:idx val="1"/>
          <c:order val="1"/>
          <c:tx>
            <c:strRef>
              <c:f>'Base de dados'!$E$2</c:f>
              <c:strCache>
                <c:ptCount val="1"/>
                <c:pt idx="0">
                  <c:v>Andamento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5920347249856739E-4"/>
                  <c:y val="-1.7593325384738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91-4630-AC7C-37946E27DF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61-42FD-9885-D860B89552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dados'!$B$3:$B$12</c:f>
              <c:strCache>
                <c:ptCount val="10"/>
                <c:pt idx="0">
                  <c:v>Espaço Confinado</c:v>
                </c:pt>
                <c:pt idx="1">
                  <c:v>Produtos Químicos Perigosos</c:v>
                </c:pt>
                <c:pt idx="2">
                  <c:v>Metal Líquido*</c:v>
                </c:pt>
                <c:pt idx="3">
                  <c:v>Equipamentos Móveis*</c:v>
                </c:pt>
                <c:pt idx="4">
                  <c:v>Liberação de Energia</c:v>
                </c:pt>
                <c:pt idx="5">
                  <c:v>Trabalho em Altura*</c:v>
                </c:pt>
                <c:pt idx="6">
                  <c:v>Sistemas Pressurizados*</c:v>
                </c:pt>
                <c:pt idx="7">
                  <c:v>Veículos Automotores</c:v>
                </c:pt>
                <c:pt idx="8">
                  <c:v>Carga Suspensa*</c:v>
                </c:pt>
                <c:pt idx="9">
                  <c:v>Eletricidade</c:v>
                </c:pt>
              </c:strCache>
            </c:strRef>
          </c:cat>
          <c:val>
            <c:numRef>
              <c:f>'Base de dados'!$E$3:$E$12</c:f>
              <c:numCache>
                <c:formatCode>0.0%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0.63636363636363635</c:v>
                </c:pt>
                <c:pt idx="3">
                  <c:v>0.18181818181818182</c:v>
                </c:pt>
                <c:pt idx="4">
                  <c:v>0.54545454545454541</c:v>
                </c:pt>
                <c:pt idx="5">
                  <c:v>0.38461538461538464</c:v>
                </c:pt>
                <c:pt idx="6">
                  <c:v>7.6923076923076927E-2</c:v>
                </c:pt>
                <c:pt idx="7">
                  <c:v>1</c:v>
                </c:pt>
                <c:pt idx="8">
                  <c:v>0.35714285714285715</c:v>
                </c:pt>
                <c:pt idx="9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191-4630-AC7C-37946E27DFFC}"/>
            </c:ext>
          </c:extLst>
        </c:ser>
        <c:ser>
          <c:idx val="2"/>
          <c:order val="2"/>
          <c:tx>
            <c:strRef>
              <c:f>'Base de dados'!$F$2</c:f>
              <c:strCache>
                <c:ptCount val="1"/>
                <c:pt idx="0">
                  <c:v>Vencido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61-42FD-9885-D860B895520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61-42FD-9885-D860B895520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61-42FD-9885-D860B895520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61-42FD-9885-D860B895520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191-4630-AC7C-37946E27DFF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61-42FD-9885-D860B895520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61-42FD-9885-D860B8955202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61-42FD-9885-D860B89552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dados'!$B$3:$B$12</c:f>
              <c:strCache>
                <c:ptCount val="10"/>
                <c:pt idx="0">
                  <c:v>Espaço Confinado</c:v>
                </c:pt>
                <c:pt idx="1">
                  <c:v>Produtos Químicos Perigosos</c:v>
                </c:pt>
                <c:pt idx="2">
                  <c:v>Metal Líquido*</c:v>
                </c:pt>
                <c:pt idx="3">
                  <c:v>Equipamentos Móveis*</c:v>
                </c:pt>
                <c:pt idx="4">
                  <c:v>Liberação de Energia</c:v>
                </c:pt>
                <c:pt idx="5">
                  <c:v>Trabalho em Altura*</c:v>
                </c:pt>
                <c:pt idx="6">
                  <c:v>Sistemas Pressurizados*</c:v>
                </c:pt>
                <c:pt idx="7">
                  <c:v>Veículos Automotores</c:v>
                </c:pt>
                <c:pt idx="8">
                  <c:v>Carga Suspensa*</c:v>
                </c:pt>
                <c:pt idx="9">
                  <c:v>Eletricidade</c:v>
                </c:pt>
              </c:strCache>
            </c:strRef>
          </c:cat>
          <c:val>
            <c:numRef>
              <c:f>'Base de dados'!$F$3:$F$12</c:f>
              <c:numCache>
                <c:formatCode>0.0%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9.0909090909090912E-2</c:v>
                </c:pt>
                <c:pt idx="3">
                  <c:v>0.18181818181818182</c:v>
                </c:pt>
                <c:pt idx="4">
                  <c:v>0.18181818181818182</c:v>
                </c:pt>
                <c:pt idx="5">
                  <c:v>0.23076923076923078</c:v>
                </c:pt>
                <c:pt idx="6">
                  <c:v>0.92307692307692313</c:v>
                </c:pt>
                <c:pt idx="7">
                  <c:v>0</c:v>
                </c:pt>
                <c:pt idx="8">
                  <c:v>0.14285714285714285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191-4630-AC7C-37946E27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733488"/>
        <c:axId val="1218772032"/>
      </c:barChart>
      <c:lineChart>
        <c:grouping val="standard"/>
        <c:varyColors val="0"/>
        <c:ser>
          <c:idx val="3"/>
          <c:order val="3"/>
          <c:tx>
            <c:strRef>
              <c:f>'Base de dados'!$G$2</c:f>
              <c:strCache>
                <c:ptCount val="1"/>
                <c:pt idx="0">
                  <c:v>Total_Rótulo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'Base de dados'!$G$3:$G$12</c:f>
              <c:numCache>
                <c:formatCode>#\ ?/?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191-4630-AC7C-37946E27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373872"/>
        <c:axId val="1218713952"/>
      </c:lineChart>
      <c:catAx>
        <c:axId val="13327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8772032"/>
        <c:crosses val="autoZero"/>
        <c:auto val="1"/>
        <c:lblAlgn val="ctr"/>
        <c:lblOffset val="100"/>
        <c:noMultiLvlLbl val="0"/>
      </c:catAx>
      <c:valAx>
        <c:axId val="12187720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733488"/>
        <c:crosses val="autoZero"/>
        <c:crossBetween val="between"/>
        <c:majorUnit val="0.2"/>
      </c:valAx>
      <c:valAx>
        <c:axId val="1218713952"/>
        <c:scaling>
          <c:orientation val="minMax"/>
        </c:scaling>
        <c:delete val="0"/>
        <c:axPos val="r"/>
        <c:numFmt formatCode="#\ ?/?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4373872"/>
        <c:crosses val="max"/>
        <c:crossBetween val="between"/>
      </c:valAx>
      <c:catAx>
        <c:axId val="1384373872"/>
        <c:scaling>
          <c:orientation val="minMax"/>
        </c:scaling>
        <c:delete val="1"/>
        <c:axPos val="b"/>
        <c:majorTickMark val="out"/>
        <c:minorTickMark val="none"/>
        <c:tickLblPos val="nextTo"/>
        <c:crossAx val="121871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Quantidade de Ações por Risco</a:t>
            </a:r>
          </a:p>
        </c:rich>
      </c:tx>
      <c:layout>
        <c:manualLayout>
          <c:xMode val="edge"/>
          <c:yMode val="edge"/>
          <c:x val="0.28376858117118003"/>
          <c:y val="6.90846286701208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'Base de dados'!$C$2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dados'!$B$3:$B$12</c:f>
              <c:strCache>
                <c:ptCount val="10"/>
                <c:pt idx="0">
                  <c:v>Espaço Confinado</c:v>
                </c:pt>
                <c:pt idx="1">
                  <c:v>Produtos Químicos Perigosos</c:v>
                </c:pt>
                <c:pt idx="2">
                  <c:v>Metal Líquido*</c:v>
                </c:pt>
                <c:pt idx="3">
                  <c:v>Equipamentos Móveis*</c:v>
                </c:pt>
                <c:pt idx="4">
                  <c:v>Liberação de Energia</c:v>
                </c:pt>
                <c:pt idx="5">
                  <c:v>Trabalho em Altura*</c:v>
                </c:pt>
                <c:pt idx="6">
                  <c:v>Sistemas Pressurizados*</c:v>
                </c:pt>
                <c:pt idx="7">
                  <c:v>Veículos Automotores</c:v>
                </c:pt>
                <c:pt idx="8">
                  <c:v>Carga Suspensa*</c:v>
                </c:pt>
                <c:pt idx="9">
                  <c:v>Eletricidade</c:v>
                </c:pt>
              </c:strCache>
            </c:strRef>
          </c:cat>
          <c:val>
            <c:numRef>
              <c:f>'Base de dados'!$C$3:$C$12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5-4276-875E-EE3709E14B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4132399"/>
        <c:axId val="1374334847"/>
      </c:barChart>
      <c:catAx>
        <c:axId val="137413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4334847"/>
        <c:crosses val="autoZero"/>
        <c:auto val="1"/>
        <c:lblAlgn val="ctr"/>
        <c:lblOffset val="100"/>
        <c:noMultiLvlLbl val="0"/>
      </c:catAx>
      <c:valAx>
        <c:axId val="13743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413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10" Type="http://schemas.microsoft.com/office/2007/relationships/hdphoto" Target="../media/hdphoto4.wdp"/><Relationship Id="rId4" Type="http://schemas.microsoft.com/office/2007/relationships/hdphoto" Target="../media/hdphoto1.wdp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1547817</xdr:colOff>
      <xdr:row>0</xdr:row>
      <xdr:rowOff>79378</xdr:rowOff>
    </xdr:from>
    <xdr:to>
      <xdr:col>10</xdr:col>
      <xdr:colOff>2007161</xdr:colOff>
      <xdr:row>0</xdr:row>
      <xdr:rowOff>465140</xdr:rowOff>
    </xdr:to>
    <xdr:pic>
      <xdr:nvPicPr>
        <xdr:cNvPr id="2" name="Gráfico 43">
          <a:extLst>
            <a:ext uri="{FF2B5EF4-FFF2-40B4-BE49-F238E27FC236}">
              <a16:creationId xmlns:a16="http://schemas.microsoft.com/office/drawing/2014/main" id="{34C005B9-7446-4838-940D-2ABABF82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610767" y="82553"/>
          <a:ext cx="456169" cy="382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142875</xdr:rowOff>
    </xdr:from>
    <xdr:to>
      <xdr:col>20</xdr:col>
      <xdr:colOff>352424</xdr:colOff>
      <xdr:row>40</xdr:row>
      <xdr:rowOff>152400</xdr:rowOff>
    </xdr:to>
    <xdr:sp macro="" textlink="">
      <xdr:nvSpPr>
        <xdr:cNvPr id="4" name="Retângulo 1">
          <a:extLst>
            <a:ext uri="{FF2B5EF4-FFF2-40B4-BE49-F238E27FC236}">
              <a16:creationId xmlns:a16="http://schemas.microsoft.com/office/drawing/2014/main" id="{D62D11B5-7B94-723A-CBE2-A1576CE17CDE}"/>
            </a:ext>
          </a:extLst>
        </xdr:cNvPr>
        <xdr:cNvSpPr/>
      </xdr:nvSpPr>
      <xdr:spPr>
        <a:xfrm>
          <a:off x="76199" y="142875"/>
          <a:ext cx="13992225" cy="738187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418540</xdr:colOff>
      <xdr:row>0</xdr:row>
      <xdr:rowOff>66675</xdr:rowOff>
    </xdr:from>
    <xdr:to>
      <xdr:col>11</xdr:col>
      <xdr:colOff>137945</xdr:colOff>
      <xdr:row>5</xdr:row>
      <xdr:rowOff>0</xdr:rowOff>
    </xdr:to>
    <xdr:sp macro="" textlink="">
      <xdr:nvSpPr>
        <xdr:cNvPr id="6" name="CaixaDeTexto 27">
          <a:extLst>
            <a:ext uri="{FF2B5EF4-FFF2-40B4-BE49-F238E27FC236}">
              <a16:creationId xmlns:a16="http://schemas.microsoft.com/office/drawing/2014/main" id="{2A81B062-E44F-4D5E-893D-6D11BA1DDF12}"/>
            </a:ext>
          </a:extLst>
        </xdr:cNvPr>
        <xdr:cNvSpPr txBox="1"/>
      </xdr:nvSpPr>
      <xdr:spPr>
        <a:xfrm>
          <a:off x="1104340" y="66675"/>
          <a:ext cx="6577405" cy="94689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pt-BR" sz="1800" b="1">
              <a:solidFill>
                <a:schemeClr val="bg2">
                  <a:lumMod val="25000"/>
                </a:schemeClr>
              </a:solidFill>
            </a:rPr>
            <a:t>ACOMPANHAMENTO DE AÇÕES</a:t>
          </a:r>
        </a:p>
        <a:p>
          <a:r>
            <a:rPr lang="pt-BR" sz="1200" b="1">
              <a:solidFill>
                <a:schemeClr val="accent2"/>
              </a:solidFill>
            </a:rPr>
            <a:t>GESTÃO</a:t>
          </a:r>
          <a:r>
            <a:rPr lang="pt-BR" sz="1200" b="1" baseline="0">
              <a:solidFill>
                <a:schemeClr val="accent2"/>
              </a:solidFill>
            </a:rPr>
            <a:t> DE </a:t>
          </a:r>
          <a:r>
            <a:rPr lang="pt-BR" sz="1200" b="1">
              <a:solidFill>
                <a:schemeClr val="accent2"/>
              </a:solidFill>
            </a:rPr>
            <a:t>RISCOS</a:t>
          </a:r>
          <a:r>
            <a:rPr lang="pt-BR" sz="1200" b="1" baseline="0">
              <a:solidFill>
                <a:schemeClr val="accent2"/>
              </a:solidFill>
            </a:rPr>
            <a:t> CRÍTICOS</a:t>
          </a:r>
          <a:endParaRPr lang="pt-BR" sz="1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16</xdr:col>
      <xdr:colOff>447675</xdr:colOff>
      <xdr:row>1</xdr:row>
      <xdr:rowOff>57150</xdr:rowOff>
    </xdr:from>
    <xdr:to>
      <xdr:col>19</xdr:col>
      <xdr:colOff>365253</xdr:colOff>
      <xdr:row>5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319F5F53-F9AA-4163-AFE1-5E10D1BFEDB0}"/>
            </a:ext>
          </a:extLst>
        </xdr:cNvPr>
        <xdr:cNvGrpSpPr/>
      </xdr:nvGrpSpPr>
      <xdr:grpSpPr>
        <a:xfrm>
          <a:off x="10201275" y="240030"/>
          <a:ext cx="1746378" cy="674370"/>
          <a:chOff x="6885432" y="2531268"/>
          <a:chExt cx="1677256" cy="632205"/>
        </a:xfrm>
      </xdr:grpSpPr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77B45309-959B-5A04-C061-92416C0432DC}"/>
              </a:ext>
            </a:extLst>
          </xdr:cNvPr>
          <xdr:cNvCxnSpPr>
            <a:cxnSpLocks/>
          </xdr:cNvCxnSpPr>
        </xdr:nvCxnSpPr>
        <xdr:spPr>
          <a:xfrm flipH="1" flipV="1">
            <a:off x="8259604" y="2788920"/>
            <a:ext cx="303084" cy="374553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83FA2D3F-60BC-0A26-71ED-3E381C23AB20}"/>
              </a:ext>
            </a:extLst>
          </xdr:cNvPr>
          <xdr:cNvCxnSpPr>
            <a:cxnSpLocks/>
          </xdr:cNvCxnSpPr>
        </xdr:nvCxnSpPr>
        <xdr:spPr>
          <a:xfrm flipH="1">
            <a:off x="7469981" y="2788920"/>
            <a:ext cx="792957" cy="0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9CC920B0-A277-F6B9-D1F6-AE587DCEB0BA}"/>
              </a:ext>
            </a:extLst>
          </xdr:cNvPr>
          <xdr:cNvCxnSpPr>
            <a:cxnSpLocks/>
          </xdr:cNvCxnSpPr>
        </xdr:nvCxnSpPr>
        <xdr:spPr>
          <a:xfrm flipH="1" flipV="1">
            <a:off x="7293769" y="2531269"/>
            <a:ext cx="176212" cy="257651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99BA54F3-DDFE-5DD5-CFE8-969092108A66}"/>
              </a:ext>
            </a:extLst>
          </xdr:cNvPr>
          <xdr:cNvCxnSpPr>
            <a:cxnSpLocks/>
          </xdr:cNvCxnSpPr>
        </xdr:nvCxnSpPr>
        <xdr:spPr>
          <a:xfrm>
            <a:off x="6885432" y="2531268"/>
            <a:ext cx="408337" cy="1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8C5A04EA-3422-A8C1-6C65-2BC506E180AA}"/>
              </a:ext>
            </a:extLst>
          </xdr:cNvPr>
          <xdr:cNvCxnSpPr>
            <a:cxnSpLocks/>
          </xdr:cNvCxnSpPr>
        </xdr:nvCxnSpPr>
        <xdr:spPr>
          <a:xfrm flipH="1" flipV="1">
            <a:off x="7786640" y="2660094"/>
            <a:ext cx="303084" cy="451961"/>
          </a:xfrm>
          <a:prstGeom prst="line">
            <a:avLst/>
          </a:prstGeom>
          <a:ln w="6350">
            <a:solidFill>
              <a:schemeClr val="accent2"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304802</xdr:colOff>
      <xdr:row>5</xdr:row>
      <xdr:rowOff>80962</xdr:rowOff>
    </xdr:from>
    <xdr:to>
      <xdr:col>9</xdr:col>
      <xdr:colOff>537882</xdr:colOff>
      <xdr:row>11</xdr:row>
      <xdr:rowOff>1160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EA654203-E16C-4DB8-F664-35DFA5C995B3}"/>
            </a:ext>
          </a:extLst>
        </xdr:cNvPr>
        <xdr:cNvGrpSpPr/>
      </xdr:nvGrpSpPr>
      <xdr:grpSpPr>
        <a:xfrm>
          <a:off x="304802" y="995362"/>
          <a:ext cx="5719480" cy="1017478"/>
          <a:chOff x="161926" y="1466850"/>
          <a:chExt cx="2573385" cy="945536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B037161E-7EC3-4C5A-B264-2A8661DCA02F}"/>
              </a:ext>
            </a:extLst>
          </xdr:cNvPr>
          <xdr:cNvSpPr/>
        </xdr:nvSpPr>
        <xdr:spPr>
          <a:xfrm>
            <a:off x="166722" y="1696424"/>
            <a:ext cx="2564073" cy="715962"/>
          </a:xfrm>
          <a:prstGeom prst="rect">
            <a:avLst/>
          </a:prstGeom>
          <a:noFill/>
          <a:ln>
            <a:solidFill>
              <a:schemeClr val="bg2">
                <a:lumMod val="90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E24B5BC9-66A7-4E3E-8819-C24B906FE195}"/>
              </a:ext>
            </a:extLst>
          </xdr:cNvPr>
          <xdr:cNvSpPr/>
        </xdr:nvSpPr>
        <xdr:spPr>
          <a:xfrm>
            <a:off x="161926" y="1466850"/>
            <a:ext cx="2573385" cy="276225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2">
              <a:lumMod val="50000"/>
            </a:schemeClr>
          </a:soli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1"/>
          </a:p>
        </xdr:txBody>
      </xdr:sp>
    </xdr:grpSp>
    <xdr:clientData/>
  </xdr:twoCellAnchor>
  <xdr:twoCellAnchor>
    <xdr:from>
      <xdr:col>1</xdr:col>
      <xdr:colOff>504942</xdr:colOff>
      <xdr:row>7</xdr:row>
      <xdr:rowOff>145706</xdr:rowOff>
    </xdr:from>
    <xdr:to>
      <xdr:col>2</xdr:col>
      <xdr:colOff>362067</xdr:colOff>
      <xdr:row>9</xdr:row>
      <xdr:rowOff>107606</xdr:rowOff>
    </xdr:to>
    <xdr:sp macro="" textlink="Calculos_Aux!E5">
      <xdr:nvSpPr>
        <xdr:cNvPr id="33" name="CaixaDeTexto 32">
          <a:extLst>
            <a:ext uri="{FF2B5EF4-FFF2-40B4-BE49-F238E27FC236}">
              <a16:creationId xmlns:a16="http://schemas.microsoft.com/office/drawing/2014/main" id="{3B00CB31-E78F-6037-08D5-B684E1467D0A}"/>
            </a:ext>
          </a:extLst>
        </xdr:cNvPr>
        <xdr:cNvSpPr txBox="1"/>
      </xdr:nvSpPr>
      <xdr:spPr>
        <a:xfrm>
          <a:off x="1191745" y="1850180"/>
          <a:ext cx="543927" cy="302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7780508-CE61-4ED8-9F69-5E45AE14D04F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</a:rPr>
            <a:pPr/>
            <a:t>120</a:t>
          </a:fld>
          <a:endParaRPr lang="pt-BR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30698</xdr:colOff>
      <xdr:row>7</xdr:row>
      <xdr:rowOff>74519</xdr:rowOff>
    </xdr:from>
    <xdr:to>
      <xdr:col>3</xdr:col>
      <xdr:colOff>30698</xdr:colOff>
      <xdr:row>10</xdr:row>
      <xdr:rowOff>64169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9A10DFA8-792E-47A9-810E-E3E88A0894C4}"/>
            </a:ext>
          </a:extLst>
        </xdr:cNvPr>
        <xdr:cNvCxnSpPr/>
      </xdr:nvCxnSpPr>
      <xdr:spPr>
        <a:xfrm>
          <a:off x="2091106" y="1778993"/>
          <a:ext cx="0" cy="500992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529508</xdr:colOff>
      <xdr:row>5</xdr:row>
      <xdr:rowOff>55469</xdr:rowOff>
    </xdr:from>
    <xdr:to>
      <xdr:col>2</xdr:col>
      <xdr:colOff>643809</xdr:colOff>
      <xdr:row>7</xdr:row>
      <xdr:rowOff>17369</xdr:rowOff>
    </xdr:to>
    <xdr:sp macro="" textlink="Calculos_Aux!E5">
      <xdr:nvSpPr>
        <xdr:cNvPr id="35" name="CaixaDeTexto 34">
          <a:extLst>
            <a:ext uri="{FF2B5EF4-FFF2-40B4-BE49-F238E27FC236}">
              <a16:creationId xmlns:a16="http://schemas.microsoft.com/office/drawing/2014/main" id="{1E1F1B75-C195-4CB0-90B0-9D288A3B265E}"/>
            </a:ext>
          </a:extLst>
        </xdr:cNvPr>
        <xdr:cNvSpPr txBox="1"/>
      </xdr:nvSpPr>
      <xdr:spPr>
        <a:xfrm>
          <a:off x="529508" y="1419048"/>
          <a:ext cx="1487906" cy="302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Total de Ações</a:t>
          </a:r>
        </a:p>
      </xdr:txBody>
    </xdr:sp>
    <xdr:clientData/>
  </xdr:twoCellAnchor>
  <xdr:twoCellAnchor>
    <xdr:from>
      <xdr:col>3</xdr:col>
      <xdr:colOff>46239</xdr:colOff>
      <xdr:row>5</xdr:row>
      <xdr:rowOff>55469</xdr:rowOff>
    </xdr:from>
    <xdr:to>
      <xdr:col>5</xdr:col>
      <xdr:colOff>160538</xdr:colOff>
      <xdr:row>7</xdr:row>
      <xdr:rowOff>17369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44AF04B5-DF3B-4463-BCA6-45D7726FA226}"/>
            </a:ext>
          </a:extLst>
        </xdr:cNvPr>
        <xdr:cNvSpPr txBox="1"/>
      </xdr:nvSpPr>
      <xdr:spPr>
        <a:xfrm>
          <a:off x="2106647" y="1419048"/>
          <a:ext cx="1487904" cy="302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 i="0" u="none" strike="noStrike">
              <a:solidFill>
                <a:schemeClr val="bg1"/>
              </a:solidFill>
              <a:latin typeface="Aptos Narrow"/>
            </a:rPr>
            <a:t>Ações</a:t>
          </a:r>
          <a:r>
            <a:rPr lang="pt-BR" sz="1200" b="1" i="0" u="none" strike="noStrike" baseline="0">
              <a:solidFill>
                <a:schemeClr val="bg1"/>
              </a:solidFill>
              <a:latin typeface="Aptos Narrow"/>
            </a:rPr>
            <a:t> Concluidas</a:t>
          </a:r>
          <a:endParaRPr lang="pt-BR" sz="120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5</xdr:col>
      <xdr:colOff>77319</xdr:colOff>
      <xdr:row>7</xdr:row>
      <xdr:rowOff>84044</xdr:rowOff>
    </xdr:from>
    <xdr:to>
      <xdr:col>5</xdr:col>
      <xdr:colOff>77319</xdr:colOff>
      <xdr:row>10</xdr:row>
      <xdr:rowOff>73694</xdr:rowOff>
    </xdr:to>
    <xdr:cxnSp macro="">
      <xdr:nvCxnSpPr>
        <xdr:cNvPr id="37" name="Conector reto 36">
          <a:extLst>
            <a:ext uri="{FF2B5EF4-FFF2-40B4-BE49-F238E27FC236}">
              <a16:creationId xmlns:a16="http://schemas.microsoft.com/office/drawing/2014/main" id="{EE3F7A0E-5AC3-4145-8945-59F9B3AA500A}"/>
            </a:ext>
          </a:extLst>
        </xdr:cNvPr>
        <xdr:cNvCxnSpPr/>
      </xdr:nvCxnSpPr>
      <xdr:spPr>
        <a:xfrm>
          <a:off x="3495113" y="1764926"/>
          <a:ext cx="0" cy="493915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553571</xdr:colOff>
      <xdr:row>7</xdr:row>
      <xdr:rowOff>17369</xdr:rowOff>
    </xdr:from>
    <xdr:to>
      <xdr:col>4</xdr:col>
      <xdr:colOff>537882</xdr:colOff>
      <xdr:row>8</xdr:row>
      <xdr:rowOff>150719</xdr:rowOff>
    </xdr:to>
    <xdr:sp macro="" textlink="Calculos_Aux!E6">
      <xdr:nvSpPr>
        <xdr:cNvPr id="39" name="CaixaDeTexto 38">
          <a:extLst>
            <a:ext uri="{FF2B5EF4-FFF2-40B4-BE49-F238E27FC236}">
              <a16:creationId xmlns:a16="http://schemas.microsoft.com/office/drawing/2014/main" id="{EE917F7A-AF84-44C4-9C8B-FA007329C20C}"/>
            </a:ext>
          </a:extLst>
        </xdr:cNvPr>
        <xdr:cNvSpPr txBox="1"/>
      </xdr:nvSpPr>
      <xdr:spPr>
        <a:xfrm>
          <a:off x="2604247" y="1698251"/>
          <a:ext cx="667870" cy="3014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EFB4208-5B6C-4901-8B53-8A7936E541FF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44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382121</xdr:colOff>
      <xdr:row>8</xdr:row>
      <xdr:rowOff>136431</xdr:rowOff>
    </xdr:from>
    <xdr:to>
      <xdr:col>4</xdr:col>
      <xdr:colOff>582145</xdr:colOff>
      <xdr:row>10</xdr:row>
      <xdr:rowOff>98331</xdr:rowOff>
    </xdr:to>
    <xdr:sp macro="" textlink="Calculos_Aux!E9">
      <xdr:nvSpPr>
        <xdr:cNvPr id="40" name="CaixaDeTexto 39">
          <a:extLst>
            <a:ext uri="{FF2B5EF4-FFF2-40B4-BE49-F238E27FC236}">
              <a16:creationId xmlns:a16="http://schemas.microsoft.com/office/drawing/2014/main" id="{B9A89CD8-C51E-42C2-8370-971A9D0C6E2B}"/>
            </a:ext>
          </a:extLst>
        </xdr:cNvPr>
        <xdr:cNvSpPr txBox="1"/>
      </xdr:nvSpPr>
      <xdr:spPr>
        <a:xfrm>
          <a:off x="2432797" y="1985402"/>
          <a:ext cx="883583" cy="298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51F3515-D498-4869-B3D1-A8A426722477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36,67%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134469</xdr:colOff>
      <xdr:row>5</xdr:row>
      <xdr:rowOff>45944</xdr:rowOff>
    </xdr:from>
    <xdr:to>
      <xdr:col>7</xdr:col>
      <xdr:colOff>429744</xdr:colOff>
      <xdr:row>7</xdr:row>
      <xdr:rowOff>7844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4457B8C2-C586-44E0-BCD0-C3F84CE7DC33}"/>
            </a:ext>
          </a:extLst>
        </xdr:cNvPr>
        <xdr:cNvSpPr txBox="1"/>
      </xdr:nvSpPr>
      <xdr:spPr>
        <a:xfrm>
          <a:off x="3552263" y="1390650"/>
          <a:ext cx="1662393" cy="298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 i="0" u="none" strike="noStrike">
              <a:solidFill>
                <a:schemeClr val="bg1"/>
              </a:solidFill>
              <a:latin typeface="Aptos Narrow"/>
            </a:rPr>
            <a:t>Ações</a:t>
          </a:r>
          <a:r>
            <a:rPr lang="pt-BR" sz="1200" b="1" i="0" u="none" strike="noStrike" baseline="0">
              <a:solidFill>
                <a:schemeClr val="bg1"/>
              </a:solidFill>
              <a:latin typeface="Aptos Narrow"/>
            </a:rPr>
            <a:t> em Andamento</a:t>
          </a:r>
          <a:endParaRPr lang="pt-BR" sz="120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7</xdr:col>
      <xdr:colOff>391644</xdr:colOff>
      <xdr:row>7</xdr:row>
      <xdr:rowOff>74519</xdr:rowOff>
    </xdr:from>
    <xdr:to>
      <xdr:col>7</xdr:col>
      <xdr:colOff>391644</xdr:colOff>
      <xdr:row>10</xdr:row>
      <xdr:rowOff>64169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C434FAF1-18AB-4482-920F-7957F083F6CD}"/>
            </a:ext>
          </a:extLst>
        </xdr:cNvPr>
        <xdr:cNvCxnSpPr/>
      </xdr:nvCxnSpPr>
      <xdr:spPr>
        <a:xfrm>
          <a:off x="5176556" y="1755401"/>
          <a:ext cx="0" cy="493915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91608</xdr:colOff>
      <xdr:row>7</xdr:row>
      <xdr:rowOff>17369</xdr:rowOff>
    </xdr:from>
    <xdr:to>
      <xdr:col>7</xdr:col>
      <xdr:colOff>56029</xdr:colOff>
      <xdr:row>8</xdr:row>
      <xdr:rowOff>150719</xdr:rowOff>
    </xdr:to>
    <xdr:sp macro="" textlink="Calculos_Aux!E7">
      <xdr:nvSpPr>
        <xdr:cNvPr id="43" name="CaixaDeTexto 42">
          <a:extLst>
            <a:ext uri="{FF2B5EF4-FFF2-40B4-BE49-F238E27FC236}">
              <a16:creationId xmlns:a16="http://schemas.microsoft.com/office/drawing/2014/main" id="{8D95A90A-00BC-4C43-A612-00F5627810E4}"/>
            </a:ext>
          </a:extLst>
        </xdr:cNvPr>
        <xdr:cNvSpPr txBox="1"/>
      </xdr:nvSpPr>
      <xdr:spPr>
        <a:xfrm>
          <a:off x="4192961" y="1698251"/>
          <a:ext cx="647980" cy="3014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1B2EEB1-E100-4241-B0BC-820B054FACCF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45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591670</xdr:colOff>
      <xdr:row>8</xdr:row>
      <xdr:rowOff>136431</xdr:rowOff>
    </xdr:from>
    <xdr:to>
      <xdr:col>7</xdr:col>
      <xdr:colOff>105895</xdr:colOff>
      <xdr:row>10</xdr:row>
      <xdr:rowOff>98331</xdr:rowOff>
    </xdr:to>
    <xdr:sp macro="" textlink="Calculos_Aux!E11">
      <xdr:nvSpPr>
        <xdr:cNvPr id="44" name="CaixaDeTexto 43">
          <a:extLst>
            <a:ext uri="{FF2B5EF4-FFF2-40B4-BE49-F238E27FC236}">
              <a16:creationId xmlns:a16="http://schemas.microsoft.com/office/drawing/2014/main" id="{FEE58249-E637-4BBF-B33D-6528362042E3}"/>
            </a:ext>
          </a:extLst>
        </xdr:cNvPr>
        <xdr:cNvSpPr txBox="1"/>
      </xdr:nvSpPr>
      <xdr:spPr>
        <a:xfrm>
          <a:off x="4009464" y="1985402"/>
          <a:ext cx="881343" cy="298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FC67401-73FD-48A9-BB7C-AEFE8F269E82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37,50%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324969</xdr:colOff>
      <xdr:row>5</xdr:row>
      <xdr:rowOff>45944</xdr:rowOff>
    </xdr:from>
    <xdr:to>
      <xdr:col>9</xdr:col>
      <xdr:colOff>618003</xdr:colOff>
      <xdr:row>7</xdr:row>
      <xdr:rowOff>7844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D391BE5C-666D-49CD-84C0-10D12D8BD938}"/>
            </a:ext>
          </a:extLst>
        </xdr:cNvPr>
        <xdr:cNvSpPr txBox="1"/>
      </xdr:nvSpPr>
      <xdr:spPr>
        <a:xfrm>
          <a:off x="5125569" y="1417544"/>
          <a:ext cx="1664634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 i="0" u="none" strike="noStrike">
              <a:solidFill>
                <a:schemeClr val="bg1"/>
              </a:solidFill>
              <a:latin typeface="Aptos Narrow"/>
            </a:rPr>
            <a:t>Ações</a:t>
          </a:r>
          <a:r>
            <a:rPr lang="pt-BR" sz="1200" b="1" i="0" u="none" strike="noStrike" baseline="0">
              <a:solidFill>
                <a:schemeClr val="bg1"/>
              </a:solidFill>
              <a:latin typeface="Aptos Narrow"/>
            </a:rPr>
            <a:t> Atrasadas</a:t>
          </a:r>
          <a:endParaRPr lang="pt-BR" sz="120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8</xdr:col>
      <xdr:colOff>315445</xdr:colOff>
      <xdr:row>7</xdr:row>
      <xdr:rowOff>17369</xdr:rowOff>
    </xdr:from>
    <xdr:to>
      <xdr:col>9</xdr:col>
      <xdr:colOff>20171</xdr:colOff>
      <xdr:row>8</xdr:row>
      <xdr:rowOff>150719</xdr:rowOff>
    </xdr:to>
    <xdr:sp macro="" textlink="Calculos_Aux!E8">
      <xdr:nvSpPr>
        <xdr:cNvPr id="46" name="CaixaDeTexto 45">
          <a:extLst>
            <a:ext uri="{FF2B5EF4-FFF2-40B4-BE49-F238E27FC236}">
              <a16:creationId xmlns:a16="http://schemas.microsoft.com/office/drawing/2014/main" id="{09A23572-220E-4E8E-8446-3402ED817C9C}"/>
            </a:ext>
          </a:extLst>
        </xdr:cNvPr>
        <xdr:cNvSpPr txBox="1"/>
      </xdr:nvSpPr>
      <xdr:spPr>
        <a:xfrm>
          <a:off x="5783916" y="1698251"/>
          <a:ext cx="388284" cy="3014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EC18ED4-93CE-4A30-81A5-688C8635C437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31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115420</xdr:colOff>
      <xdr:row>8</xdr:row>
      <xdr:rowOff>136431</xdr:rowOff>
    </xdr:from>
    <xdr:to>
      <xdr:col>9</xdr:col>
      <xdr:colOff>315446</xdr:colOff>
      <xdr:row>10</xdr:row>
      <xdr:rowOff>98331</xdr:rowOff>
    </xdr:to>
    <xdr:sp macro="" textlink="Calculos_Aux!E10">
      <xdr:nvSpPr>
        <xdr:cNvPr id="47" name="CaixaDeTexto 46">
          <a:extLst>
            <a:ext uri="{FF2B5EF4-FFF2-40B4-BE49-F238E27FC236}">
              <a16:creationId xmlns:a16="http://schemas.microsoft.com/office/drawing/2014/main" id="{F5FE8095-EA10-437D-B2EE-E2E6BBAE810C}"/>
            </a:ext>
          </a:extLst>
        </xdr:cNvPr>
        <xdr:cNvSpPr txBox="1"/>
      </xdr:nvSpPr>
      <xdr:spPr>
        <a:xfrm>
          <a:off x="5583891" y="1985402"/>
          <a:ext cx="883584" cy="298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93922BA-E016-446B-A098-2BD37778620D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25,83%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289559</xdr:colOff>
      <xdr:row>12</xdr:row>
      <xdr:rowOff>53339</xdr:rowOff>
    </xdr:from>
    <xdr:to>
      <xdr:col>13</xdr:col>
      <xdr:colOff>152400</xdr:colOff>
      <xdr:row>34</xdr:row>
      <xdr:rowOff>97154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CF6CBEA6-649B-4D3A-8A5E-C32B48C06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462241</xdr:colOff>
      <xdr:row>12</xdr:row>
      <xdr:rowOff>139231</xdr:rowOff>
    </xdr:from>
    <xdr:to>
      <xdr:col>20</xdr:col>
      <xdr:colOff>300317</xdr:colOff>
      <xdr:row>34</xdr:row>
      <xdr:rowOff>43981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AE5E1E-A11E-4828-A887-363F4979D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434791</xdr:colOff>
      <xdr:row>5</xdr:row>
      <xdr:rowOff>76480</xdr:rowOff>
    </xdr:from>
    <xdr:to>
      <xdr:col>20</xdr:col>
      <xdr:colOff>158565</xdr:colOff>
      <xdr:row>10</xdr:row>
      <xdr:rowOff>164766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E3D4A99-083E-4108-98CD-6EE9B4DC96A1}"/>
            </a:ext>
          </a:extLst>
        </xdr:cNvPr>
        <xdr:cNvGrpSpPr/>
      </xdr:nvGrpSpPr>
      <xdr:grpSpPr>
        <a:xfrm>
          <a:off x="7140391" y="990880"/>
          <a:ext cx="5210174" cy="1002686"/>
          <a:chOff x="161926" y="1466850"/>
          <a:chExt cx="2368120" cy="945536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6AF513E8-C257-7292-52BB-4C4D678543A6}"/>
              </a:ext>
            </a:extLst>
          </xdr:cNvPr>
          <xdr:cNvSpPr/>
        </xdr:nvSpPr>
        <xdr:spPr>
          <a:xfrm>
            <a:off x="166722" y="1696424"/>
            <a:ext cx="2357403" cy="715962"/>
          </a:xfrm>
          <a:prstGeom prst="rect">
            <a:avLst/>
          </a:prstGeom>
          <a:noFill/>
          <a:ln>
            <a:solidFill>
              <a:schemeClr val="bg2">
                <a:lumMod val="90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ADB9FDED-75D5-28EC-8C34-5E24726ED12D}"/>
              </a:ext>
            </a:extLst>
          </xdr:cNvPr>
          <xdr:cNvSpPr/>
        </xdr:nvSpPr>
        <xdr:spPr>
          <a:xfrm>
            <a:off x="161926" y="1466850"/>
            <a:ext cx="2368120" cy="276225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2">
              <a:lumMod val="50000"/>
            </a:schemeClr>
          </a:soli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1"/>
          </a:p>
        </xdr:txBody>
      </xdr:sp>
    </xdr:grpSp>
    <xdr:clientData/>
  </xdr:twoCellAnchor>
  <xdr:twoCellAnchor>
    <xdr:from>
      <xdr:col>12</xdr:col>
      <xdr:colOff>373715</xdr:colOff>
      <xdr:row>5</xdr:row>
      <xdr:rowOff>59951</xdr:rowOff>
    </xdr:from>
    <xdr:to>
      <xdr:col>15</xdr:col>
      <xdr:colOff>96930</xdr:colOff>
      <xdr:row>7</xdr:row>
      <xdr:rowOff>21851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4808089-9EE2-461A-9751-590EB1E49324}"/>
            </a:ext>
          </a:extLst>
        </xdr:cNvPr>
        <xdr:cNvSpPr txBox="1"/>
      </xdr:nvSpPr>
      <xdr:spPr>
        <a:xfrm>
          <a:off x="8603315" y="1431551"/>
          <a:ext cx="178061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 i="0" u="none" strike="noStrike">
              <a:solidFill>
                <a:schemeClr val="bg1"/>
              </a:solidFill>
              <a:latin typeface="Aptos Narrow"/>
            </a:rPr>
            <a:t>Riscos com Conclusão</a:t>
          </a:r>
        </a:p>
      </xdr:txBody>
    </xdr:sp>
    <xdr:clientData/>
  </xdr:twoCellAnchor>
  <xdr:twoCellAnchor>
    <xdr:from>
      <xdr:col>15</xdr:col>
      <xdr:colOff>635373</xdr:colOff>
      <xdr:row>7</xdr:row>
      <xdr:rowOff>84044</xdr:rowOff>
    </xdr:from>
    <xdr:to>
      <xdr:col>15</xdr:col>
      <xdr:colOff>635373</xdr:colOff>
      <xdr:row>10</xdr:row>
      <xdr:rowOff>73694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50341D04-DD23-4884-B367-504C8AFFF96B}"/>
            </a:ext>
          </a:extLst>
        </xdr:cNvPr>
        <xdr:cNvCxnSpPr/>
      </xdr:nvCxnSpPr>
      <xdr:spPr>
        <a:xfrm>
          <a:off x="10888755" y="1764926"/>
          <a:ext cx="0" cy="493915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557492</xdr:colOff>
      <xdr:row>5</xdr:row>
      <xdr:rowOff>55469</xdr:rowOff>
    </xdr:from>
    <xdr:to>
      <xdr:col>19</xdr:col>
      <xdr:colOff>280706</xdr:colOff>
      <xdr:row>7</xdr:row>
      <xdr:rowOff>17369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7760B4A1-88A9-4311-AC68-6DD83A86E261}"/>
            </a:ext>
          </a:extLst>
        </xdr:cNvPr>
        <xdr:cNvSpPr txBox="1"/>
      </xdr:nvSpPr>
      <xdr:spPr>
        <a:xfrm>
          <a:off x="11530292" y="1427069"/>
          <a:ext cx="1780614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 i="0" u="none" strike="noStrike">
              <a:solidFill>
                <a:schemeClr val="bg1"/>
              </a:solidFill>
              <a:latin typeface="Aptos Narrow"/>
            </a:rPr>
            <a:t>Riscos sem</a:t>
          </a:r>
          <a:r>
            <a:rPr lang="pt-BR" sz="1200" b="1" i="0" u="none" strike="noStrike" baseline="0">
              <a:solidFill>
                <a:schemeClr val="bg1"/>
              </a:solidFill>
              <a:latin typeface="Aptos Narrow"/>
            </a:rPr>
            <a:t> </a:t>
          </a:r>
          <a:r>
            <a:rPr lang="pt-BR" sz="1200" b="1" i="0" u="none" strike="noStrike">
              <a:solidFill>
                <a:schemeClr val="bg1"/>
              </a:solidFill>
              <a:latin typeface="Aptos Narrow"/>
            </a:rPr>
            <a:t>Conclusão</a:t>
          </a:r>
        </a:p>
      </xdr:txBody>
    </xdr:sp>
    <xdr:clientData/>
  </xdr:twoCellAnchor>
  <xdr:twoCellAnchor>
    <xdr:from>
      <xdr:col>13</xdr:col>
      <xdr:colOff>464484</xdr:colOff>
      <xdr:row>7</xdr:row>
      <xdr:rowOff>35299</xdr:rowOff>
    </xdr:from>
    <xdr:to>
      <xdr:col>14</xdr:col>
      <xdr:colOff>448795</xdr:colOff>
      <xdr:row>9</xdr:row>
      <xdr:rowOff>561</xdr:rowOff>
    </xdr:to>
    <xdr:sp macro="" textlink="'Base de dados'!J7">
      <xdr:nvSpPr>
        <xdr:cNvPr id="20" name="CaixaDeTexto 19">
          <a:extLst>
            <a:ext uri="{FF2B5EF4-FFF2-40B4-BE49-F238E27FC236}">
              <a16:creationId xmlns:a16="http://schemas.microsoft.com/office/drawing/2014/main" id="{0E36BFEB-002B-48A1-9499-36E7CB192495}"/>
            </a:ext>
          </a:extLst>
        </xdr:cNvPr>
        <xdr:cNvSpPr txBox="1"/>
      </xdr:nvSpPr>
      <xdr:spPr>
        <a:xfrm>
          <a:off x="9379884" y="1749799"/>
          <a:ext cx="670111" cy="30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ABF53B-FB90-4484-9213-C44CC824B235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8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403972</xdr:colOff>
      <xdr:row>8</xdr:row>
      <xdr:rowOff>142875</xdr:rowOff>
    </xdr:from>
    <xdr:to>
      <xdr:col>14</xdr:col>
      <xdr:colOff>388283</xdr:colOff>
      <xdr:row>10</xdr:row>
      <xdr:rowOff>108138</xdr:rowOff>
    </xdr:to>
    <xdr:sp macro="" textlink="'Base de dados'!J8">
      <xdr:nvSpPr>
        <xdr:cNvPr id="21" name="CaixaDeTexto 20">
          <a:extLst>
            <a:ext uri="{FF2B5EF4-FFF2-40B4-BE49-F238E27FC236}">
              <a16:creationId xmlns:a16="http://schemas.microsoft.com/office/drawing/2014/main" id="{277627D5-FB02-413D-A2B0-0FD01A8D0781}"/>
            </a:ext>
          </a:extLst>
        </xdr:cNvPr>
        <xdr:cNvSpPr txBox="1"/>
      </xdr:nvSpPr>
      <xdr:spPr>
        <a:xfrm>
          <a:off x="9319372" y="2028825"/>
          <a:ext cx="670111" cy="308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08E2880-540C-43D4-BFAE-2E7D04ED9633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80%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75080</xdr:colOff>
      <xdr:row>7</xdr:row>
      <xdr:rowOff>21291</xdr:rowOff>
    </xdr:from>
    <xdr:to>
      <xdr:col>19</xdr:col>
      <xdr:colOff>59391</xdr:colOff>
      <xdr:row>8</xdr:row>
      <xdr:rowOff>154641</xdr:rowOff>
    </xdr:to>
    <xdr:sp macro="" textlink="'Base de dados'!J3">
      <xdr:nvSpPr>
        <xdr:cNvPr id="22" name="CaixaDeTexto 21">
          <a:extLst>
            <a:ext uri="{FF2B5EF4-FFF2-40B4-BE49-F238E27FC236}">
              <a16:creationId xmlns:a16="http://schemas.microsoft.com/office/drawing/2014/main" id="{2614AC87-979E-4471-9738-B75DD4F43795}"/>
            </a:ext>
          </a:extLst>
        </xdr:cNvPr>
        <xdr:cNvSpPr txBox="1"/>
      </xdr:nvSpPr>
      <xdr:spPr>
        <a:xfrm>
          <a:off x="12419480" y="1735791"/>
          <a:ext cx="670111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E24B70B-9BAA-4567-AC52-0F2E455FA015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2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671793</xdr:colOff>
      <xdr:row>8</xdr:row>
      <xdr:rowOff>138392</xdr:rowOff>
    </xdr:from>
    <xdr:to>
      <xdr:col>18</xdr:col>
      <xdr:colOff>656104</xdr:colOff>
      <xdr:row>10</xdr:row>
      <xdr:rowOff>103655</xdr:rowOff>
    </xdr:to>
    <xdr:sp macro="" textlink="'Base de dados'!J4">
      <xdr:nvSpPr>
        <xdr:cNvPr id="23" name="CaixaDeTexto 22">
          <a:extLst>
            <a:ext uri="{FF2B5EF4-FFF2-40B4-BE49-F238E27FC236}">
              <a16:creationId xmlns:a16="http://schemas.microsoft.com/office/drawing/2014/main" id="{C5C8E00E-6BDC-4D92-A845-2FAD4A8BED21}"/>
            </a:ext>
          </a:extLst>
        </xdr:cNvPr>
        <xdr:cNvSpPr txBox="1"/>
      </xdr:nvSpPr>
      <xdr:spPr>
        <a:xfrm>
          <a:off x="12330393" y="2024342"/>
          <a:ext cx="670111" cy="308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EF84102-9945-437B-A194-0C9593ACFD6B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/>
            <a:t>20%</a:t>
          </a:fld>
          <a:endParaRPr lang="pt-BR" sz="1600" b="1" i="0" u="none" strike="noStrike">
            <a:solidFill>
              <a:schemeClr val="bg2">
                <a:lumMod val="5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324412</xdr:colOff>
      <xdr:row>1</xdr:row>
      <xdr:rowOff>89647</xdr:rowOff>
    </xdr:from>
    <xdr:to>
      <xdr:col>1</xdr:col>
      <xdr:colOff>347013</xdr:colOff>
      <xdr:row>5</xdr:row>
      <xdr:rowOff>112059</xdr:rowOff>
    </xdr:to>
    <xdr:pic>
      <xdr:nvPicPr>
        <xdr:cNvPr id="25" name="Imagem 24" descr="Risk management Generic Fill &amp; Lineal icon | Freepik">
          <a:extLst>
            <a:ext uri="{FF2B5EF4-FFF2-40B4-BE49-F238E27FC236}">
              <a16:creationId xmlns:a16="http://schemas.microsoft.com/office/drawing/2014/main" id="{9242807A-5032-CFC0-A3B3-995685C90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08" b="93945" l="9961" r="89844">
                      <a14:foregroundMark x1="13867" y1="18750" x2="13867" y2="18750"/>
                      <a14:foregroundMark x1="50977" y1="8203" x2="50977" y2="8203"/>
                      <a14:foregroundMark x1="49805" y1="93945" x2="49805" y2="939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412" y="261097"/>
          <a:ext cx="708401" cy="7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257175</xdr:colOff>
      <xdr:row>7</xdr:row>
      <xdr:rowOff>66676</xdr:rowOff>
    </xdr:from>
    <xdr:to>
      <xdr:col>17</xdr:col>
      <xdr:colOff>104774</xdr:colOff>
      <xdr:row>10</xdr:row>
      <xdr:rowOff>85726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194DE5C5-A387-C01A-82B8-1B630A7FF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961" b="89844" l="4688" r="93555">
                      <a14:foregroundMark x1="48438" y1="43359" x2="48438" y2="43359"/>
                      <a14:foregroundMark x1="51758" y1="72461" x2="51758" y2="72461"/>
                      <a14:foregroundMark x1="93555" y1="83398" x2="93555" y2="83398"/>
                      <a14:foregroundMark x1="8984" y1="81445" x2="8984" y2="81445"/>
                      <a14:foregroundMark x1="50195" y1="9961" x2="50195" y2="9961"/>
                      <a14:foregroundMark x1="4688" y1="82617" x2="4688" y2="826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229975" y="1781176"/>
          <a:ext cx="533399" cy="533399"/>
        </a:xfrm>
        <a:prstGeom prst="rect">
          <a:avLst/>
        </a:prstGeom>
      </xdr:spPr>
    </xdr:pic>
    <xdr:clientData/>
  </xdr:twoCellAnchor>
  <xdr:twoCellAnchor editAs="oneCell">
    <xdr:from>
      <xdr:col>12</xdr:col>
      <xdr:colOff>87967</xdr:colOff>
      <xdr:row>7</xdr:row>
      <xdr:rowOff>79562</xdr:rowOff>
    </xdr:from>
    <xdr:to>
      <xdr:col>12</xdr:col>
      <xdr:colOff>579965</xdr:colOff>
      <xdr:row>10</xdr:row>
      <xdr:rowOff>57152</xdr:rowOff>
    </xdr:to>
    <xdr:pic>
      <xdr:nvPicPr>
        <xdr:cNvPr id="28" name="Imagem 27" descr="check-circle Vector Icons free download in SVG, PNG Format">
          <a:extLst>
            <a:ext uri="{FF2B5EF4-FFF2-40B4-BE49-F238E27FC236}">
              <a16:creationId xmlns:a16="http://schemas.microsoft.com/office/drawing/2014/main" id="{F6BA1D93-8237-41BD-B30D-67F8BC7A6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5469" b="94141" l="6055" r="94336">
                      <a14:foregroundMark x1="12305" y1="31250" x2="12305" y2="31250"/>
                      <a14:foregroundMark x1="12305" y1="31250" x2="12305" y2="31250"/>
                      <a14:foregroundMark x1="12305" y1="31250" x2="12305" y2="31250"/>
                      <a14:foregroundMark x1="12305" y1="31250" x2="19336" y2="20898"/>
                      <a14:foregroundMark x1="24414" y1="16602" x2="38477" y2="11133"/>
                      <a14:foregroundMark x1="38477" y1="11133" x2="55078" y2="10352"/>
                      <a14:foregroundMark x1="55078" y1="10352" x2="60938" y2="11523"/>
                      <a14:foregroundMark x1="90430" y1="25977" x2="50781" y2="60547"/>
                      <a14:foregroundMark x1="50781" y1="60547" x2="32227" y2="47266"/>
                      <a14:foregroundMark x1="32227" y1="47266" x2="30664" y2="44727"/>
                      <a14:foregroundMark x1="50000" y1="5859" x2="50000" y2="5859"/>
                      <a14:foregroundMark x1="6055" y1="47852" x2="6055" y2="47852"/>
                      <a14:foregroundMark x1="89453" y1="49219" x2="89453" y2="49219"/>
                      <a14:foregroundMark x1="94336" y1="50391" x2="94336" y2="50391"/>
                      <a14:foregroundMark x1="52148" y1="94141" x2="52148" y2="941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7567" y="1794062"/>
          <a:ext cx="491998" cy="49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7</xdr:row>
      <xdr:rowOff>52387</xdr:rowOff>
    </xdr:from>
    <xdr:to>
      <xdr:col>1</xdr:col>
      <xdr:colOff>288990</xdr:colOff>
      <xdr:row>10</xdr:row>
      <xdr:rowOff>133351</xdr:rowOff>
    </xdr:to>
    <xdr:pic>
      <xdr:nvPicPr>
        <xdr:cNvPr id="29" name="Imagem 28" descr="Safety Data Sheet Compliance NZ | Update SDS for New Zealand – DG Solutions">
          <a:extLst>
            <a:ext uri="{FF2B5EF4-FFF2-40B4-BE49-F238E27FC236}">
              <a16:creationId xmlns:a16="http://schemas.microsoft.com/office/drawing/2014/main" id="{A6EA9DD1-A3C6-4B5A-56FD-456322E04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56019" y1="28519" x2="56019" y2="28519"/>
                      <a14:foregroundMark x1="53241" y1="42130" x2="53241" y2="42130"/>
                      <a14:foregroundMark x1="51204" y1="36852" x2="51204" y2="36852"/>
                      <a14:foregroundMark x1="37407" y1="29444" x2="37407" y2="29444"/>
                      <a14:foregroundMark x1="35278" y1="43519" x2="35278" y2="43519"/>
                      <a14:foregroundMark x1="35093" y1="58056" x2="35093" y2="58056"/>
                      <a14:foregroundMark x1="33889" y1="70926" x2="33889" y2="709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1766887"/>
          <a:ext cx="593789" cy="595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34</xdr:row>
      <xdr:rowOff>85725</xdr:rowOff>
    </xdr:from>
    <xdr:to>
      <xdr:col>20</xdr:col>
      <xdr:colOff>276225</xdr:colOff>
      <xdr:row>35</xdr:row>
      <xdr:rowOff>175260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1A8DB2F5-8B0B-44C4-A879-BD0AEEB4FF4D}"/>
            </a:ext>
          </a:extLst>
        </xdr:cNvPr>
        <xdr:cNvSpPr/>
      </xdr:nvSpPr>
      <xdr:spPr>
        <a:xfrm>
          <a:off x="228600" y="6303645"/>
          <a:ext cx="12239625" cy="27241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0</xdr:col>
      <xdr:colOff>314325</xdr:colOff>
      <xdr:row>34</xdr:row>
      <xdr:rowOff>104775</xdr:rowOff>
    </xdr:from>
    <xdr:to>
      <xdr:col>3</xdr:col>
      <xdr:colOff>121920</xdr:colOff>
      <xdr:row>36</xdr:row>
      <xdr:rowOff>47624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AE73BD90-8780-4A37-8E20-814C79918A57}"/>
            </a:ext>
          </a:extLst>
        </xdr:cNvPr>
        <xdr:cNvSpPr txBox="1"/>
      </xdr:nvSpPr>
      <xdr:spPr>
        <a:xfrm>
          <a:off x="314325" y="6322695"/>
          <a:ext cx="1636395" cy="308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Atualização dos dados: </a:t>
          </a:r>
        </a:p>
      </xdr:txBody>
    </xdr:sp>
    <xdr:clientData/>
  </xdr:twoCellAnchor>
  <xdr:twoCellAnchor>
    <xdr:from>
      <xdr:col>2</xdr:col>
      <xdr:colOff>478155</xdr:colOff>
      <xdr:row>34</xdr:row>
      <xdr:rowOff>104775</xdr:rowOff>
    </xdr:from>
    <xdr:to>
      <xdr:col>5</xdr:col>
      <xdr:colOff>30480</xdr:colOff>
      <xdr:row>36</xdr:row>
      <xdr:rowOff>47624</xdr:rowOff>
    </xdr:to>
    <xdr:sp macro="" textlink="Calculos_Aux!D16">
      <xdr:nvSpPr>
        <xdr:cNvPr id="38" name="CaixaDeTexto 37">
          <a:extLst>
            <a:ext uri="{FF2B5EF4-FFF2-40B4-BE49-F238E27FC236}">
              <a16:creationId xmlns:a16="http://schemas.microsoft.com/office/drawing/2014/main" id="{47D2E860-13A6-4B01-9BDF-184B2DE3E6A6}"/>
            </a:ext>
          </a:extLst>
        </xdr:cNvPr>
        <xdr:cNvSpPr txBox="1"/>
      </xdr:nvSpPr>
      <xdr:spPr>
        <a:xfrm>
          <a:off x="1697355" y="6322695"/>
          <a:ext cx="1381125" cy="308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571C8C-4F07-4104-97B3-E0CA401FDFF6}" type="TxLink"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pPr marL="0" indent="0" algn="l"/>
            <a:t>19/09/2026</a:t>
          </a:fld>
          <a:endParaRPr lang="pt-BR" sz="1100" b="1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1547817</xdr:colOff>
      <xdr:row>0</xdr:row>
      <xdr:rowOff>79378</xdr:rowOff>
    </xdr:from>
    <xdr:to>
      <xdr:col>12</xdr:col>
      <xdr:colOff>2010336</xdr:colOff>
      <xdr:row>0</xdr:row>
      <xdr:rowOff>468315</xdr:rowOff>
    </xdr:to>
    <xdr:pic>
      <xdr:nvPicPr>
        <xdr:cNvPr id="184" name="Gráfico 4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07495" y="79375"/>
          <a:ext cx="459105" cy="38544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D7FCFF-7131-4BD3-973F-69F1AD66953B}" name="Tabela2" displayName="Tabela2" ref="B2:H12" totalsRowShown="0" headerRowDxfId="8" dataDxfId="7">
  <autoFilter ref="B2:H12" xr:uid="{CAD7FCFF-7131-4BD3-973F-69F1AD66953B}"/>
  <sortState xmlns:xlrd2="http://schemas.microsoft.com/office/spreadsheetml/2017/richdata2" ref="B3:H12">
    <sortCondition ref="C2:C12"/>
  </sortState>
  <tableColumns count="7">
    <tableColumn id="1" xr3:uid="{6F2A5C76-7225-4E04-B4BD-7B57065BCFD6}" name="Risco crítico" dataDxfId="6"/>
    <tableColumn id="2" xr3:uid="{3427287C-1F45-417F-BE31-DC740D5BF5B3}" name="Total" dataDxfId="5">
      <calculatedColumnFormula>COUNTIF('PLANILHA FINAL'!$B:$B,B3)</calculatedColumnFormula>
    </tableColumn>
    <tableColumn id="3" xr3:uid="{236A46E0-E05E-4A73-8F1A-1D20A802D884}" name="Concluído" dataDxfId="4">
      <calculatedColumnFormula>IF(C3=0,0,COUNTIFS('PLANILHA FINAL'!$B:$B,B3&amp;"*",'PLANILHA FINAL'!$I:$I,"Concluído")/C3)</calculatedColumnFormula>
    </tableColumn>
    <tableColumn id="4" xr3:uid="{458A1539-A317-496B-B2C0-312064E06C58}" name="Andamento" dataDxfId="3">
      <calculatedColumnFormula>IF(C3=0,0,COUNTIFS('PLANILHA FINAL'!$B:$B,B3&amp;"*",'PLANILHA FINAL'!$I:$I,"Andamento")/C3)</calculatedColumnFormula>
    </tableColumn>
    <tableColumn id="5" xr3:uid="{BF521AB6-BDC4-4EBB-BFBB-B545D86057EA}" name="Vencido" dataDxfId="2">
      <calculatedColumnFormula>IF(C3=0,0,COUNTIFS('PLANILHA FINAL'!$B:$B,B3&amp;"*",'PLANILHA FINAL'!$I:$I,"Atrasado")/C3)</calculatedColumnFormula>
    </tableColumn>
    <tableColumn id="6" xr3:uid="{C5A0FF7F-EFCF-4890-9AC0-9B0067B2AB4E}" name="Total_Rótulo" dataDxfId="1">
      <calculatedColumnFormula>C3</calculatedColumnFormula>
    </tableColumn>
    <tableColumn id="7" xr3:uid="{ABDF3C5A-775B-4067-89D9-69C29850B387}" name="Conclusão" dataDxfId="0">
      <calculatedColumnFormula>IF(D2=0,"Sem conclusão","Com conclusão")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0AFA-2806-491A-91D4-15FC329487FE}">
  <sheetPr filterMode="1"/>
  <dimension ref="A1:K122"/>
  <sheetViews>
    <sheetView showGridLines="0" zoomScale="85" zoomScaleNormal="85" workbookViewId="0">
      <selection activeCell="I41" sqref="I41:I52"/>
    </sheetView>
  </sheetViews>
  <sheetFormatPr defaultColWidth="9" defaultRowHeight="14.4" x14ac:dyDescent="0.25"/>
  <cols>
    <col min="1" max="1" width="6" customWidth="1"/>
    <col min="2" max="2" width="20.109375" customWidth="1"/>
    <col min="3" max="3" width="12.33203125" customWidth="1"/>
    <col min="4" max="4" width="35.88671875" style="4" customWidth="1"/>
    <col min="5" max="5" width="13" customWidth="1"/>
    <col min="6" max="6" width="17.88671875" customWidth="1"/>
    <col min="7" max="7" width="14.44140625" customWidth="1"/>
    <col min="8" max="8" width="25.44140625" customWidth="1"/>
    <col min="9" max="9" width="13.21875" customWidth="1"/>
    <col min="10" max="10" width="7" customWidth="1"/>
    <col min="11" max="11" width="35.44140625" customWidth="1"/>
  </cols>
  <sheetData>
    <row r="1" spans="1:11" s="1" customFormat="1" ht="46.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1"/>
    </row>
    <row r="2" spans="1:11" s="28" customFormat="1" ht="54" customHeight="1" x14ac:dyDescent="0.25">
      <c r="A2" s="30" t="s">
        <v>229</v>
      </c>
      <c r="B2" s="30" t="s">
        <v>2</v>
      </c>
      <c r="C2" s="30" t="s">
        <v>235</v>
      </c>
      <c r="D2" s="30" t="s">
        <v>5</v>
      </c>
      <c r="E2" s="32" t="s">
        <v>6</v>
      </c>
      <c r="F2" s="31" t="s">
        <v>7</v>
      </c>
      <c r="G2" s="31" t="s">
        <v>8</v>
      </c>
      <c r="H2" s="30" t="s">
        <v>9</v>
      </c>
      <c r="I2" s="52" t="s">
        <v>10</v>
      </c>
      <c r="J2" s="53"/>
      <c r="K2" s="30" t="s">
        <v>12</v>
      </c>
    </row>
    <row r="3" spans="1:11" ht="16.5" hidden="1" customHeight="1" x14ac:dyDescent="0.25">
      <c r="A3" s="15">
        <v>1</v>
      </c>
      <c r="B3" s="15" t="s">
        <v>230</v>
      </c>
      <c r="C3" s="15">
        <f>IF(B3="","",_xlfn.MAXIFS($C$2:C2,$B$2:B2,B3)+1)</f>
        <v>1</v>
      </c>
      <c r="D3" s="16"/>
      <c r="E3" s="15" t="s">
        <v>228</v>
      </c>
      <c r="F3" s="18"/>
      <c r="G3" s="18">
        <v>46283</v>
      </c>
      <c r="H3" s="15"/>
      <c r="I3" s="15" t="s">
        <v>25</v>
      </c>
      <c r="J3" s="17">
        <f t="shared" ref="J3:J34" si="0">IF(I3="Concluído",2,IF(I3="Andamento",1,IF(I3="Atrasado",0,"")))</f>
        <v>2</v>
      </c>
      <c r="K3" s="15"/>
    </row>
    <row r="4" spans="1:11" ht="18.600000000000001" hidden="1" customHeight="1" x14ac:dyDescent="0.25">
      <c r="A4" s="21">
        <v>2</v>
      </c>
      <c r="B4" s="15" t="s">
        <v>230</v>
      </c>
      <c r="C4" s="15">
        <f>IF(B4="","",_xlfn.MAXIFS($C$2:C3,$B$2:B3,B4)+1)</f>
        <v>2</v>
      </c>
      <c r="D4" s="20"/>
      <c r="E4" s="15" t="s">
        <v>228</v>
      </c>
      <c r="F4" s="18"/>
      <c r="G4" s="18">
        <v>46283</v>
      </c>
      <c r="H4" s="15"/>
      <c r="I4" s="15" t="s">
        <v>26</v>
      </c>
      <c r="J4" s="17">
        <f t="shared" si="0"/>
        <v>0</v>
      </c>
      <c r="K4" s="21"/>
    </row>
    <row r="5" spans="1:11" hidden="1" x14ac:dyDescent="0.25">
      <c r="A5" s="21">
        <v>3</v>
      </c>
      <c r="B5" s="15" t="s">
        <v>230</v>
      </c>
      <c r="C5" s="15">
        <f>IF(B5="","",_xlfn.MAXIFS($C$2:C4,$B$2:B4,B5)+1)</f>
        <v>3</v>
      </c>
      <c r="D5" s="20"/>
      <c r="E5" s="15" t="s">
        <v>228</v>
      </c>
      <c r="F5" s="18"/>
      <c r="G5" s="18">
        <v>46283</v>
      </c>
      <c r="H5" s="15"/>
      <c r="I5" s="15" t="s">
        <v>25</v>
      </c>
      <c r="J5" s="17">
        <f t="shared" si="0"/>
        <v>2</v>
      </c>
      <c r="K5" s="21"/>
    </row>
    <row r="6" spans="1:11" hidden="1" x14ac:dyDescent="0.25">
      <c r="A6" s="15">
        <v>4</v>
      </c>
      <c r="B6" s="15" t="s">
        <v>230</v>
      </c>
      <c r="C6" s="15">
        <f>IF(B6="","",_xlfn.MAXIFS($C$2:C5,$B$2:B5,B6)+1)</f>
        <v>4</v>
      </c>
      <c r="D6" s="20"/>
      <c r="E6" s="15" t="s">
        <v>228</v>
      </c>
      <c r="F6" s="18"/>
      <c r="G6" s="18">
        <v>46283</v>
      </c>
      <c r="H6" s="15"/>
      <c r="I6" s="15" t="s">
        <v>25</v>
      </c>
      <c r="J6" s="17">
        <f t="shared" si="0"/>
        <v>2</v>
      </c>
      <c r="K6" s="21"/>
    </row>
    <row r="7" spans="1:11" hidden="1" x14ac:dyDescent="0.25">
      <c r="A7" s="21">
        <v>5</v>
      </c>
      <c r="B7" s="15" t="s">
        <v>230</v>
      </c>
      <c r="C7" s="15">
        <f>IF(B7="","",_xlfn.MAXIFS($C$2:C6,$B$2:B6,B7)+1)</f>
        <v>5</v>
      </c>
      <c r="D7" s="20"/>
      <c r="E7" s="15" t="s">
        <v>228</v>
      </c>
      <c r="F7" s="18"/>
      <c r="G7" s="18">
        <v>46283</v>
      </c>
      <c r="H7" s="15"/>
      <c r="I7" s="15" t="s">
        <v>25</v>
      </c>
      <c r="J7" s="17">
        <f t="shared" si="0"/>
        <v>2</v>
      </c>
      <c r="K7" s="21"/>
    </row>
    <row r="8" spans="1:11" hidden="1" x14ac:dyDescent="0.25">
      <c r="A8" s="21">
        <v>6</v>
      </c>
      <c r="B8" s="15" t="s">
        <v>230</v>
      </c>
      <c r="C8" s="15">
        <f>IF(B8="","",_xlfn.MAXIFS($C$2:C7,$B$2:B7,B8)+1)</f>
        <v>6</v>
      </c>
      <c r="D8" s="20"/>
      <c r="E8" s="15" t="s">
        <v>228</v>
      </c>
      <c r="F8" s="18"/>
      <c r="G8" s="18">
        <v>46283</v>
      </c>
      <c r="H8" s="15"/>
      <c r="I8" s="15" t="s">
        <v>25</v>
      </c>
      <c r="J8" s="17">
        <f t="shared" si="0"/>
        <v>2</v>
      </c>
      <c r="K8" s="21"/>
    </row>
    <row r="9" spans="1:11" hidden="1" x14ac:dyDescent="0.25">
      <c r="A9" s="15">
        <v>7</v>
      </c>
      <c r="B9" s="15" t="s">
        <v>230</v>
      </c>
      <c r="C9" s="15">
        <f>IF(B9="","",_xlfn.MAXIFS($C$2:C8,$B$2:B8,B9)+1)</f>
        <v>7</v>
      </c>
      <c r="D9" s="20"/>
      <c r="E9" s="15" t="s">
        <v>228</v>
      </c>
      <c r="F9" s="18"/>
      <c r="G9" s="18">
        <v>46283</v>
      </c>
      <c r="H9" s="15"/>
      <c r="I9" s="15" t="s">
        <v>26</v>
      </c>
      <c r="J9" s="17">
        <f t="shared" si="0"/>
        <v>0</v>
      </c>
      <c r="K9" s="21"/>
    </row>
    <row r="10" spans="1:11" hidden="1" x14ac:dyDescent="0.25">
      <c r="A10" s="21">
        <v>8</v>
      </c>
      <c r="B10" s="15" t="s">
        <v>230</v>
      </c>
      <c r="C10" s="15">
        <f>IF(B10="","",_xlfn.MAXIFS($C$2:C9,$B$2:B9,B10)+1)</f>
        <v>8</v>
      </c>
      <c r="D10" s="20"/>
      <c r="E10" s="15" t="s">
        <v>228</v>
      </c>
      <c r="F10" s="18"/>
      <c r="G10" s="18">
        <v>46283</v>
      </c>
      <c r="H10" s="15"/>
      <c r="I10" s="15" t="s">
        <v>26</v>
      </c>
      <c r="J10" s="17">
        <f t="shared" si="0"/>
        <v>0</v>
      </c>
      <c r="K10" s="21"/>
    </row>
    <row r="11" spans="1:11" hidden="1" x14ac:dyDescent="0.25">
      <c r="A11" s="21">
        <v>9</v>
      </c>
      <c r="B11" s="15" t="s">
        <v>230</v>
      </c>
      <c r="C11" s="15">
        <f>IF(B11="","",_xlfn.MAXIFS($C$2:C10,$B$2:B10,B11)+1)</f>
        <v>9</v>
      </c>
      <c r="D11" s="20"/>
      <c r="E11" s="15" t="s">
        <v>228</v>
      </c>
      <c r="F11" s="18"/>
      <c r="G11" s="18">
        <v>46283</v>
      </c>
      <c r="H11" s="15"/>
      <c r="I11" s="15" t="s">
        <v>18</v>
      </c>
      <c r="J11" s="17">
        <f t="shared" si="0"/>
        <v>1</v>
      </c>
      <c r="K11" s="21"/>
    </row>
    <row r="12" spans="1:11" hidden="1" x14ac:dyDescent="0.25">
      <c r="A12" s="15">
        <v>10</v>
      </c>
      <c r="B12" s="15" t="s">
        <v>230</v>
      </c>
      <c r="C12" s="15">
        <f>IF(B12="","",_xlfn.MAXIFS($C$2:C11,$B$2:B11,B12)+1)</f>
        <v>10</v>
      </c>
      <c r="D12" s="16"/>
      <c r="E12" s="15" t="s">
        <v>228</v>
      </c>
      <c r="F12" s="18"/>
      <c r="G12" s="18">
        <v>46283</v>
      </c>
      <c r="H12" s="15"/>
      <c r="I12" s="15" t="s">
        <v>18</v>
      </c>
      <c r="J12" s="17">
        <f t="shared" si="0"/>
        <v>1</v>
      </c>
      <c r="K12" s="15"/>
    </row>
    <row r="13" spans="1:11" hidden="1" x14ac:dyDescent="0.25">
      <c r="A13" s="21">
        <v>11</v>
      </c>
      <c r="B13" s="15" t="s">
        <v>230</v>
      </c>
      <c r="C13" s="15">
        <f>IF(B13="","",_xlfn.MAXIFS($C$2:C12,$B$2:B12,B13)+1)</f>
        <v>11</v>
      </c>
      <c r="D13" s="16"/>
      <c r="E13" s="15" t="s">
        <v>228</v>
      </c>
      <c r="F13" s="18"/>
      <c r="G13" s="18">
        <v>46283</v>
      </c>
      <c r="H13" s="15"/>
      <c r="I13" s="15" t="s">
        <v>18</v>
      </c>
      <c r="J13" s="17">
        <f t="shared" si="0"/>
        <v>1</v>
      </c>
      <c r="K13" s="15"/>
    </row>
    <row r="14" spans="1:11" hidden="1" x14ac:dyDescent="0.25">
      <c r="A14" s="21">
        <v>12</v>
      </c>
      <c r="B14" s="15" t="s">
        <v>230</v>
      </c>
      <c r="C14" s="15">
        <f>IF(B14="","",_xlfn.MAXIFS($C$2:C13,$B$2:B13,B14)+1)</f>
        <v>12</v>
      </c>
      <c r="D14" s="16"/>
      <c r="E14" s="15" t="s">
        <v>228</v>
      </c>
      <c r="F14" s="18"/>
      <c r="G14" s="18">
        <v>46283</v>
      </c>
      <c r="H14" s="15"/>
      <c r="I14" s="15" t="s">
        <v>18</v>
      </c>
      <c r="J14" s="17">
        <f t="shared" si="0"/>
        <v>1</v>
      </c>
      <c r="K14" s="15"/>
    </row>
    <row r="15" spans="1:11" hidden="1" x14ac:dyDescent="0.25">
      <c r="A15" s="15">
        <v>13</v>
      </c>
      <c r="B15" s="15" t="s">
        <v>230</v>
      </c>
      <c r="C15" s="15">
        <f>IF(B15="","",_xlfn.MAXIFS($C$2:C14,$B$2:B14,B15)+1)</f>
        <v>13</v>
      </c>
      <c r="D15" s="20"/>
      <c r="E15" s="15" t="s">
        <v>228</v>
      </c>
      <c r="F15" s="18"/>
      <c r="G15" s="18">
        <v>46283</v>
      </c>
      <c r="H15" s="15"/>
      <c r="I15" s="15" t="s">
        <v>18</v>
      </c>
      <c r="J15" s="17">
        <f t="shared" si="0"/>
        <v>1</v>
      </c>
      <c r="K15" s="21"/>
    </row>
    <row r="16" spans="1:11" ht="32.4" hidden="1" customHeight="1" x14ac:dyDescent="0.25">
      <c r="A16" s="21">
        <v>14</v>
      </c>
      <c r="B16" s="15" t="s">
        <v>231</v>
      </c>
      <c r="C16" s="15">
        <f>IF(B16="","",_xlfn.MAXIFS($C$2:C15,$B$2:B15,B16)+1)</f>
        <v>1</v>
      </c>
      <c r="D16" s="20"/>
      <c r="E16" s="15" t="s">
        <v>228</v>
      </c>
      <c r="F16" s="18"/>
      <c r="G16" s="18">
        <v>46283</v>
      </c>
      <c r="H16" s="15"/>
      <c r="I16" s="15" t="s">
        <v>18</v>
      </c>
      <c r="J16" s="17">
        <f t="shared" si="0"/>
        <v>1</v>
      </c>
      <c r="K16" s="21"/>
    </row>
    <row r="17" spans="1:11" ht="28.5" hidden="1" customHeight="1" x14ac:dyDescent="0.25">
      <c r="A17" s="21">
        <v>15</v>
      </c>
      <c r="B17" s="15" t="s">
        <v>231</v>
      </c>
      <c r="C17" s="15">
        <f>IF(B17="","",_xlfn.MAXIFS($C$2:C16,$B$2:B16,B17)+1)</f>
        <v>2</v>
      </c>
      <c r="D17" s="20"/>
      <c r="E17" s="15" t="s">
        <v>228</v>
      </c>
      <c r="F17" s="18"/>
      <c r="G17" s="18">
        <v>46283</v>
      </c>
      <c r="H17" s="15"/>
      <c r="I17" s="15" t="s">
        <v>25</v>
      </c>
      <c r="J17" s="17">
        <f t="shared" si="0"/>
        <v>2</v>
      </c>
      <c r="K17" s="21"/>
    </row>
    <row r="18" spans="1:11" ht="29.4" hidden="1" customHeight="1" x14ac:dyDescent="0.25">
      <c r="A18" s="15">
        <v>16</v>
      </c>
      <c r="B18" s="15" t="s">
        <v>231</v>
      </c>
      <c r="C18" s="15">
        <f>IF(B18="","",_xlfn.MAXIFS($C$2:C17,$B$2:B17,B18)+1)</f>
        <v>3</v>
      </c>
      <c r="D18" s="20"/>
      <c r="E18" s="15" t="s">
        <v>228</v>
      </c>
      <c r="F18" s="18"/>
      <c r="G18" s="18">
        <v>46283</v>
      </c>
      <c r="H18" s="15"/>
      <c r="I18" s="15" t="s">
        <v>18</v>
      </c>
      <c r="J18" s="17">
        <f t="shared" si="0"/>
        <v>1</v>
      </c>
      <c r="K18" s="21"/>
    </row>
    <row r="19" spans="1:11" ht="31.5" hidden="1" customHeight="1" x14ac:dyDescent="0.25">
      <c r="A19" s="21">
        <v>17</v>
      </c>
      <c r="B19" s="15" t="s">
        <v>231</v>
      </c>
      <c r="C19" s="15">
        <f>IF(B19="","",_xlfn.MAXIFS($C$2:C18,$B$2:B18,B19)+1)</f>
        <v>4</v>
      </c>
      <c r="D19" s="20"/>
      <c r="E19" s="15" t="s">
        <v>228</v>
      </c>
      <c r="F19" s="18"/>
      <c r="G19" s="18">
        <v>46283</v>
      </c>
      <c r="H19" s="15"/>
      <c r="I19" s="15" t="s">
        <v>25</v>
      </c>
      <c r="J19" s="17">
        <f t="shared" si="0"/>
        <v>2</v>
      </c>
      <c r="K19" s="21"/>
    </row>
    <row r="20" spans="1:11" ht="32.4" hidden="1" customHeight="1" x14ac:dyDescent="0.25">
      <c r="A20" s="21">
        <v>18</v>
      </c>
      <c r="B20" s="15" t="s">
        <v>231</v>
      </c>
      <c r="C20" s="15">
        <f>IF(B20="","",_xlfn.MAXIFS($C$2:C19,$B$2:B19,B20)+1)</f>
        <v>5</v>
      </c>
      <c r="D20" s="20"/>
      <c r="E20" s="15" t="s">
        <v>228</v>
      </c>
      <c r="F20" s="18"/>
      <c r="G20" s="18">
        <v>46283</v>
      </c>
      <c r="H20" s="15"/>
      <c r="I20" s="15" t="s">
        <v>26</v>
      </c>
      <c r="J20" s="17">
        <f t="shared" si="0"/>
        <v>0</v>
      </c>
      <c r="K20" s="21"/>
    </row>
    <row r="21" spans="1:11" ht="33.9" hidden="1" customHeight="1" x14ac:dyDescent="0.25">
      <c r="A21" s="15">
        <v>19</v>
      </c>
      <c r="B21" s="15" t="s">
        <v>231</v>
      </c>
      <c r="C21" s="15">
        <f>IF(B21="","",_xlfn.MAXIFS($C$2:C20,$B$2:B20,B21)+1)</f>
        <v>6</v>
      </c>
      <c r="D21" s="20"/>
      <c r="E21" s="15" t="s">
        <v>228</v>
      </c>
      <c r="F21" s="18"/>
      <c r="G21" s="18">
        <v>46283</v>
      </c>
      <c r="H21" s="15"/>
      <c r="I21" s="15" t="s">
        <v>26</v>
      </c>
      <c r="J21" s="17">
        <f t="shared" si="0"/>
        <v>0</v>
      </c>
      <c r="K21" s="21"/>
    </row>
    <row r="22" spans="1:11" ht="30" hidden="1" customHeight="1" x14ac:dyDescent="0.25">
      <c r="A22" s="21">
        <v>20</v>
      </c>
      <c r="B22" s="15" t="s">
        <v>231</v>
      </c>
      <c r="C22" s="15">
        <f>IF(B22="","",_xlfn.MAXIFS($C$2:C21,$B$2:B21,B22)+1)</f>
        <v>7</v>
      </c>
      <c r="D22" s="29"/>
      <c r="E22" s="15" t="s">
        <v>228</v>
      </c>
      <c r="F22" s="18"/>
      <c r="G22" s="18">
        <v>46283</v>
      </c>
      <c r="H22" s="15"/>
      <c r="I22" s="15" t="s">
        <v>25</v>
      </c>
      <c r="J22" s="17">
        <f t="shared" si="0"/>
        <v>2</v>
      </c>
      <c r="K22" s="21"/>
    </row>
    <row r="23" spans="1:11" ht="32.4" hidden="1" customHeight="1" x14ac:dyDescent="0.25">
      <c r="A23" s="21">
        <v>21</v>
      </c>
      <c r="B23" s="15" t="s">
        <v>231</v>
      </c>
      <c r="C23" s="15">
        <f>IF(B23="","",_xlfn.MAXIFS($C$2:C22,$B$2:B22,B23)+1)</f>
        <v>8</v>
      </c>
      <c r="D23" s="29"/>
      <c r="E23" s="15" t="s">
        <v>228</v>
      </c>
      <c r="F23" s="18"/>
      <c r="G23" s="18">
        <v>46283</v>
      </c>
      <c r="H23" s="15"/>
      <c r="I23" s="15" t="s">
        <v>25</v>
      </c>
      <c r="J23" s="17">
        <f t="shared" si="0"/>
        <v>2</v>
      </c>
      <c r="K23" s="21"/>
    </row>
    <row r="24" spans="1:11" hidden="1" x14ac:dyDescent="0.25">
      <c r="A24" s="15">
        <v>22</v>
      </c>
      <c r="B24" s="15" t="s">
        <v>231</v>
      </c>
      <c r="C24" s="15">
        <f>IF(B24="","",_xlfn.MAXIFS($C$2:C23,$B$2:B23,B24)+1)</f>
        <v>9</v>
      </c>
      <c r="D24" s="29"/>
      <c r="E24" s="15" t="s">
        <v>228</v>
      </c>
      <c r="F24" s="18"/>
      <c r="G24" s="18">
        <v>46283</v>
      </c>
      <c r="H24" s="15"/>
      <c r="I24" s="15" t="s">
        <v>18</v>
      </c>
      <c r="J24" s="17">
        <f t="shared" si="0"/>
        <v>1</v>
      </c>
      <c r="K24" s="21"/>
    </row>
    <row r="25" spans="1:11" hidden="1" x14ac:dyDescent="0.25">
      <c r="A25" s="21">
        <v>23</v>
      </c>
      <c r="B25" s="15" t="s">
        <v>231</v>
      </c>
      <c r="C25" s="15">
        <f>IF(B25="","",_xlfn.MAXIFS($C$2:C24,$B$2:B24,B25)+1)</f>
        <v>10</v>
      </c>
      <c r="D25" s="29"/>
      <c r="E25" s="15" t="s">
        <v>228</v>
      </c>
      <c r="F25" s="18"/>
      <c r="G25" s="18">
        <v>46283</v>
      </c>
      <c r="H25" s="15"/>
      <c r="I25" s="15" t="s">
        <v>18</v>
      </c>
      <c r="J25" s="17">
        <f t="shared" si="0"/>
        <v>1</v>
      </c>
      <c r="K25" s="21"/>
    </row>
    <row r="26" spans="1:11" hidden="1" x14ac:dyDescent="0.25">
      <c r="A26" s="21">
        <v>24</v>
      </c>
      <c r="B26" s="15" t="s">
        <v>231</v>
      </c>
      <c r="C26" s="15">
        <f>IF(B26="","",_xlfn.MAXIFS($C$2:C25,$B$2:B25,B26)+1)</f>
        <v>11</v>
      </c>
      <c r="D26" s="29"/>
      <c r="E26" s="15" t="s">
        <v>228</v>
      </c>
      <c r="F26" s="18"/>
      <c r="G26" s="18">
        <v>46283</v>
      </c>
      <c r="H26" s="15"/>
      <c r="I26" s="15" t="s">
        <v>18</v>
      </c>
      <c r="J26" s="17">
        <f t="shared" si="0"/>
        <v>1</v>
      </c>
      <c r="K26" s="21"/>
    </row>
    <row r="27" spans="1:11" hidden="1" x14ac:dyDescent="0.25">
      <c r="A27" s="21">
        <v>25</v>
      </c>
      <c r="B27" s="15" t="s">
        <v>231</v>
      </c>
      <c r="C27" s="15">
        <f>IF(B27="","",_xlfn.MAXIFS($C$2:C26,$B$2:B26,B27)+1)</f>
        <v>12</v>
      </c>
      <c r="D27" s="29"/>
      <c r="E27" s="15" t="s">
        <v>228</v>
      </c>
      <c r="F27" s="18"/>
      <c r="G27" s="18">
        <v>46283</v>
      </c>
      <c r="H27" s="15"/>
      <c r="I27" s="15" t="s">
        <v>25</v>
      </c>
      <c r="J27" s="17">
        <f t="shared" si="0"/>
        <v>2</v>
      </c>
      <c r="K27" s="21"/>
    </row>
    <row r="28" spans="1:11" hidden="1" x14ac:dyDescent="0.25">
      <c r="A28" s="21">
        <v>26</v>
      </c>
      <c r="B28" s="15" t="s">
        <v>231</v>
      </c>
      <c r="C28" s="15">
        <f>IF(B28="","",_xlfn.MAXIFS($C$2:C27,$B$2:B27,B28)+1)</f>
        <v>13</v>
      </c>
      <c r="D28" s="29"/>
      <c r="E28" s="15" t="s">
        <v>228</v>
      </c>
      <c r="F28" s="18"/>
      <c r="G28" s="18">
        <v>46283</v>
      </c>
      <c r="H28" s="15"/>
      <c r="I28" s="15" t="s">
        <v>25</v>
      </c>
      <c r="J28" s="17">
        <f t="shared" si="0"/>
        <v>2</v>
      </c>
      <c r="K28" s="21"/>
    </row>
    <row r="29" spans="1:11" hidden="1" x14ac:dyDescent="0.25">
      <c r="A29" s="15">
        <v>27</v>
      </c>
      <c r="B29" s="15" t="s">
        <v>231</v>
      </c>
      <c r="C29" s="15">
        <f>IF(B29="","",_xlfn.MAXIFS($C$2:C28,$B$2:B28,B29)+1)</f>
        <v>14</v>
      </c>
      <c r="D29" s="29"/>
      <c r="E29" s="15" t="s">
        <v>228</v>
      </c>
      <c r="F29" s="18"/>
      <c r="G29" s="18">
        <v>46283</v>
      </c>
      <c r="H29" s="15"/>
      <c r="I29" s="15" t="s">
        <v>25</v>
      </c>
      <c r="J29" s="17">
        <f t="shared" si="0"/>
        <v>2</v>
      </c>
      <c r="K29" s="21"/>
    </row>
    <row r="30" spans="1:11" hidden="1" x14ac:dyDescent="0.25">
      <c r="A30" s="21">
        <v>28</v>
      </c>
      <c r="B30" s="15" t="s">
        <v>232</v>
      </c>
      <c r="C30" s="15">
        <f>IF(B30="","",_xlfn.MAXIFS($C$2:C29,$B$2:B29,B30)+1)</f>
        <v>1</v>
      </c>
      <c r="D30" s="29"/>
      <c r="E30" s="15" t="s">
        <v>228</v>
      </c>
      <c r="F30" s="18"/>
      <c r="G30" s="18">
        <v>46283</v>
      </c>
      <c r="H30" s="15"/>
      <c r="I30" s="15" t="s">
        <v>25</v>
      </c>
      <c r="J30" s="17">
        <f t="shared" si="0"/>
        <v>2</v>
      </c>
      <c r="K30" s="21"/>
    </row>
    <row r="31" spans="1:11" hidden="1" x14ac:dyDescent="0.25">
      <c r="A31" s="21">
        <v>29</v>
      </c>
      <c r="B31" s="15" t="s">
        <v>232</v>
      </c>
      <c r="C31" s="15">
        <f>IF(B31="","",_xlfn.MAXIFS($C$2:C30,$B$2:B30,B31)+1)</f>
        <v>2</v>
      </c>
      <c r="D31" s="29"/>
      <c r="E31" s="15" t="s">
        <v>228</v>
      </c>
      <c r="F31" s="18"/>
      <c r="G31" s="18">
        <v>46283</v>
      </c>
      <c r="H31" s="15"/>
      <c r="I31" s="15" t="s">
        <v>25</v>
      </c>
      <c r="J31" s="17">
        <f t="shared" si="0"/>
        <v>2</v>
      </c>
      <c r="K31" s="21"/>
    </row>
    <row r="32" spans="1:11" hidden="1" x14ac:dyDescent="0.25">
      <c r="A32" s="21">
        <v>30</v>
      </c>
      <c r="B32" s="15" t="s">
        <v>232</v>
      </c>
      <c r="C32" s="15">
        <f>IF(B32="","",_xlfn.MAXIFS($C$2:C31,$B$2:B31,B32)+1)</f>
        <v>3</v>
      </c>
      <c r="D32" s="29"/>
      <c r="E32" s="15" t="s">
        <v>228</v>
      </c>
      <c r="F32" s="18"/>
      <c r="G32" s="18">
        <v>46283</v>
      </c>
      <c r="H32" s="15"/>
      <c r="I32" s="15" t="s">
        <v>25</v>
      </c>
      <c r="J32" s="17">
        <f t="shared" si="0"/>
        <v>2</v>
      </c>
      <c r="K32" s="21"/>
    </row>
    <row r="33" spans="1:11" hidden="1" x14ac:dyDescent="0.25">
      <c r="A33" s="21">
        <v>31</v>
      </c>
      <c r="B33" s="15" t="s">
        <v>232</v>
      </c>
      <c r="C33" s="15">
        <f>IF(B33="","",_xlfn.MAXIFS($C$2:C32,$B$2:B32,B33)+1)</f>
        <v>4</v>
      </c>
      <c r="D33" s="29"/>
      <c r="E33" s="15" t="s">
        <v>228</v>
      </c>
      <c r="F33" s="18"/>
      <c r="G33" s="18">
        <v>46283</v>
      </c>
      <c r="H33" s="15"/>
      <c r="I33" s="15" t="s">
        <v>26</v>
      </c>
      <c r="J33" s="17">
        <f t="shared" si="0"/>
        <v>0</v>
      </c>
      <c r="K33" s="21"/>
    </row>
    <row r="34" spans="1:11" hidden="1" x14ac:dyDescent="0.25">
      <c r="A34" s="15">
        <v>32</v>
      </c>
      <c r="B34" s="15" t="s">
        <v>232</v>
      </c>
      <c r="C34" s="15">
        <f>IF(B34="","",_xlfn.MAXIFS($C$2:C33,$B$2:B33,B34)+1)</f>
        <v>5</v>
      </c>
      <c r="D34" s="29"/>
      <c r="E34" s="15" t="s">
        <v>228</v>
      </c>
      <c r="F34" s="18"/>
      <c r="G34" s="18">
        <v>46283</v>
      </c>
      <c r="H34" s="15"/>
      <c r="I34" s="15" t="s">
        <v>18</v>
      </c>
      <c r="J34" s="17">
        <f t="shared" si="0"/>
        <v>1</v>
      </c>
      <c r="K34" s="21"/>
    </row>
    <row r="35" spans="1:11" hidden="1" x14ac:dyDescent="0.25">
      <c r="A35" s="21">
        <v>33</v>
      </c>
      <c r="B35" s="15" t="s">
        <v>232</v>
      </c>
      <c r="C35" s="15">
        <f>IF(B35="","",_xlfn.MAXIFS($C$2:C34,$B$2:B34,B35)+1)</f>
        <v>6</v>
      </c>
      <c r="D35" s="29"/>
      <c r="E35" s="15" t="s">
        <v>228</v>
      </c>
      <c r="F35" s="18"/>
      <c r="G35" s="18">
        <v>46283</v>
      </c>
      <c r="H35" s="15"/>
      <c r="I35" s="15" t="s">
        <v>18</v>
      </c>
      <c r="J35" s="17">
        <f t="shared" ref="J35:J66" si="1">IF(I35="Concluído",2,IF(I35="Andamento",1,IF(I35="Atrasado",0,"")))</f>
        <v>1</v>
      </c>
      <c r="K35" s="21"/>
    </row>
    <row r="36" spans="1:11" hidden="1" x14ac:dyDescent="0.25">
      <c r="A36" s="21">
        <v>34</v>
      </c>
      <c r="B36" s="15" t="s">
        <v>232</v>
      </c>
      <c r="C36" s="15">
        <f>IF(B36="","",_xlfn.MAXIFS($C$2:C35,$B$2:B35,B36)+1)</f>
        <v>7</v>
      </c>
      <c r="D36" s="29"/>
      <c r="E36" s="15" t="s">
        <v>228</v>
      </c>
      <c r="F36" s="18"/>
      <c r="G36" s="18">
        <v>46283</v>
      </c>
      <c r="H36" s="15"/>
      <c r="I36" s="15" t="s">
        <v>18</v>
      </c>
      <c r="J36" s="17">
        <f t="shared" si="1"/>
        <v>1</v>
      </c>
      <c r="K36" s="21"/>
    </row>
    <row r="37" spans="1:11" hidden="1" x14ac:dyDescent="0.25">
      <c r="A37" s="21">
        <v>35</v>
      </c>
      <c r="B37" s="15" t="s">
        <v>232</v>
      </c>
      <c r="C37" s="15">
        <f>IF(B37="","",_xlfn.MAXIFS($C$2:C36,$B$2:B36,B37)+1)</f>
        <v>8</v>
      </c>
      <c r="D37" s="29"/>
      <c r="E37" s="15" t="s">
        <v>228</v>
      </c>
      <c r="F37" s="18"/>
      <c r="G37" s="18">
        <v>46283</v>
      </c>
      <c r="H37" s="15"/>
      <c r="I37" s="15" t="s">
        <v>18</v>
      </c>
      <c r="J37" s="17">
        <f t="shared" si="1"/>
        <v>1</v>
      </c>
      <c r="K37" s="21"/>
    </row>
    <row r="38" spans="1:11" hidden="1" x14ac:dyDescent="0.25">
      <c r="A38" s="21">
        <v>36</v>
      </c>
      <c r="B38" s="15" t="s">
        <v>232</v>
      </c>
      <c r="C38" s="15">
        <f>IF(B38="","",_xlfn.MAXIFS($C$2:C37,$B$2:B37,B38)+1)</f>
        <v>9</v>
      </c>
      <c r="D38" s="29"/>
      <c r="E38" s="15" t="s">
        <v>228</v>
      </c>
      <c r="F38" s="18"/>
      <c r="G38" s="18">
        <v>46283</v>
      </c>
      <c r="H38" s="15"/>
      <c r="I38" s="15" t="s">
        <v>18</v>
      </c>
      <c r="J38" s="17">
        <f t="shared" si="1"/>
        <v>1</v>
      </c>
      <c r="K38" s="21"/>
    </row>
    <row r="39" spans="1:11" hidden="1" x14ac:dyDescent="0.25">
      <c r="A39" s="15">
        <v>37</v>
      </c>
      <c r="B39" s="15" t="s">
        <v>232</v>
      </c>
      <c r="C39" s="15">
        <f>IF(B39="","",_xlfn.MAXIFS($C$2:C38,$B$2:B38,B39)+1)</f>
        <v>10</v>
      </c>
      <c r="D39" s="29"/>
      <c r="E39" s="15" t="s">
        <v>228</v>
      </c>
      <c r="F39" s="18"/>
      <c r="G39" s="18">
        <v>46283</v>
      </c>
      <c r="H39" s="15"/>
      <c r="I39" s="15" t="s">
        <v>18</v>
      </c>
      <c r="J39" s="17">
        <f t="shared" si="1"/>
        <v>1</v>
      </c>
      <c r="K39" s="21"/>
    </row>
    <row r="40" spans="1:11" hidden="1" x14ac:dyDescent="0.25">
      <c r="A40" s="21">
        <v>38</v>
      </c>
      <c r="B40" s="15" t="s">
        <v>232</v>
      </c>
      <c r="C40" s="15">
        <f>IF(B40="","",_xlfn.MAXIFS($C$2:C39,$B$2:B39,B40)+1)</f>
        <v>11</v>
      </c>
      <c r="D40" s="29"/>
      <c r="E40" s="15" t="s">
        <v>228</v>
      </c>
      <c r="F40" s="18"/>
      <c r="G40" s="18">
        <v>46283</v>
      </c>
      <c r="H40" s="15"/>
      <c r="I40" s="15" t="s">
        <v>18</v>
      </c>
      <c r="J40" s="17">
        <f t="shared" si="1"/>
        <v>1</v>
      </c>
      <c r="K40" s="21"/>
    </row>
    <row r="41" spans="1:11" ht="27.6" x14ac:dyDescent="0.25">
      <c r="A41" s="21">
        <v>39</v>
      </c>
      <c r="B41" s="15" t="s">
        <v>233</v>
      </c>
      <c r="C41" s="15">
        <f>IF(B41="","",_xlfn.MAXIFS($C$2:C40,$B$2:B40,B41)+1)</f>
        <v>1</v>
      </c>
      <c r="D41" s="29"/>
      <c r="E41" s="15" t="s">
        <v>228</v>
      </c>
      <c r="F41" s="18"/>
      <c r="G41" s="18">
        <v>46283</v>
      </c>
      <c r="H41" s="15"/>
      <c r="I41" s="15" t="s">
        <v>26</v>
      </c>
      <c r="J41" s="17">
        <f t="shared" si="1"/>
        <v>0</v>
      </c>
      <c r="K41" s="21"/>
    </row>
    <row r="42" spans="1:11" ht="27.6" x14ac:dyDescent="0.25">
      <c r="A42" s="21">
        <v>40</v>
      </c>
      <c r="B42" s="15" t="s">
        <v>233</v>
      </c>
      <c r="C42" s="15">
        <f>IF(B42="","",_xlfn.MAXIFS($C$2:C41,$B$2:B41,B42)+1)</f>
        <v>2</v>
      </c>
      <c r="D42" s="29"/>
      <c r="E42" s="15" t="s">
        <v>228</v>
      </c>
      <c r="F42" s="18"/>
      <c r="G42" s="18">
        <v>46283</v>
      </c>
      <c r="H42" s="15"/>
      <c r="I42" s="15" t="s">
        <v>26</v>
      </c>
      <c r="J42" s="17">
        <f t="shared" si="1"/>
        <v>0</v>
      </c>
      <c r="K42" s="21"/>
    </row>
    <row r="43" spans="1:11" ht="27.6" x14ac:dyDescent="0.25">
      <c r="A43" s="21">
        <v>41</v>
      </c>
      <c r="B43" s="15" t="s">
        <v>233</v>
      </c>
      <c r="C43" s="15">
        <f>IF(B43="","",_xlfn.MAXIFS($C$2:C42,$B$2:B42,B43)+1)</f>
        <v>3</v>
      </c>
      <c r="D43" s="29"/>
      <c r="E43" s="15" t="s">
        <v>228</v>
      </c>
      <c r="F43" s="18"/>
      <c r="G43" s="18">
        <v>46283</v>
      </c>
      <c r="H43" s="15"/>
      <c r="I43" s="15" t="s">
        <v>26</v>
      </c>
      <c r="J43" s="17">
        <f t="shared" si="1"/>
        <v>0</v>
      </c>
      <c r="K43" s="21"/>
    </row>
    <row r="44" spans="1:11" ht="27.6" x14ac:dyDescent="0.25">
      <c r="A44" s="15">
        <v>42</v>
      </c>
      <c r="B44" s="15" t="s">
        <v>233</v>
      </c>
      <c r="C44" s="15">
        <f>IF(B44="","",_xlfn.MAXIFS($C$2:C43,$B$2:B43,B44)+1)</f>
        <v>4</v>
      </c>
      <c r="D44" s="29"/>
      <c r="E44" s="15" t="s">
        <v>228</v>
      </c>
      <c r="F44" s="18"/>
      <c r="G44" s="18">
        <v>46283</v>
      </c>
      <c r="H44" s="15"/>
      <c r="I44" s="15" t="s">
        <v>26</v>
      </c>
      <c r="J44" s="17">
        <f t="shared" si="1"/>
        <v>0</v>
      </c>
      <c r="K44" s="21"/>
    </row>
    <row r="45" spans="1:11" ht="27.6" x14ac:dyDescent="0.25">
      <c r="A45" s="21">
        <v>43</v>
      </c>
      <c r="B45" s="15" t="s">
        <v>233</v>
      </c>
      <c r="C45" s="15">
        <f>IF(B45="","",_xlfn.MAXIFS($C$2:C44,$B$2:B44,B45)+1)</f>
        <v>5</v>
      </c>
      <c r="D45" s="29"/>
      <c r="E45" s="15" t="s">
        <v>228</v>
      </c>
      <c r="F45" s="18"/>
      <c r="G45" s="18">
        <v>46283</v>
      </c>
      <c r="H45" s="15"/>
      <c r="I45" s="15" t="s">
        <v>26</v>
      </c>
      <c r="J45" s="17">
        <f t="shared" si="1"/>
        <v>0</v>
      </c>
      <c r="K45" s="21"/>
    </row>
    <row r="46" spans="1:11" ht="27.6" x14ac:dyDescent="0.25">
      <c r="A46" s="21">
        <v>44</v>
      </c>
      <c r="B46" s="15" t="s">
        <v>233</v>
      </c>
      <c r="C46" s="15">
        <f>IF(B46="","",_xlfn.MAXIFS($C$2:C45,$B$2:B45,B46)+1)</f>
        <v>6</v>
      </c>
      <c r="D46" s="29"/>
      <c r="E46" s="15" t="s">
        <v>228</v>
      </c>
      <c r="F46" s="18"/>
      <c r="G46" s="18">
        <v>46283</v>
      </c>
      <c r="H46" s="15"/>
      <c r="I46" s="15" t="s">
        <v>26</v>
      </c>
      <c r="J46" s="17">
        <f t="shared" si="1"/>
        <v>0</v>
      </c>
      <c r="K46" s="21"/>
    </row>
    <row r="47" spans="1:11" ht="25.5" customHeight="1" x14ac:dyDescent="0.25">
      <c r="A47" s="21">
        <v>45</v>
      </c>
      <c r="B47" s="15" t="s">
        <v>233</v>
      </c>
      <c r="C47" s="15">
        <f>IF(B47="","",_xlfn.MAXIFS($C$2:C46,$B$2:B46,B47)+1)</f>
        <v>7</v>
      </c>
      <c r="D47" s="29"/>
      <c r="E47" s="15" t="s">
        <v>228</v>
      </c>
      <c r="F47" s="18"/>
      <c r="G47" s="18">
        <v>46283</v>
      </c>
      <c r="H47" s="15"/>
      <c r="I47" s="15" t="s">
        <v>26</v>
      </c>
      <c r="J47" s="17">
        <f t="shared" si="1"/>
        <v>0</v>
      </c>
      <c r="K47" s="21"/>
    </row>
    <row r="48" spans="1:11" ht="25.5" customHeight="1" x14ac:dyDescent="0.25">
      <c r="A48" s="21">
        <v>46</v>
      </c>
      <c r="B48" s="15" t="s">
        <v>233</v>
      </c>
      <c r="C48" s="15">
        <f>IF(B48="","",_xlfn.MAXIFS($C$2:C47,$B$2:B47,B48)+1)</f>
        <v>8</v>
      </c>
      <c r="D48" s="29"/>
      <c r="E48" s="15" t="s">
        <v>228</v>
      </c>
      <c r="F48" s="18"/>
      <c r="G48" s="18">
        <v>46283</v>
      </c>
      <c r="H48" s="15"/>
      <c r="I48" s="15" t="s">
        <v>26</v>
      </c>
      <c r="J48" s="17">
        <f t="shared" si="1"/>
        <v>0</v>
      </c>
      <c r="K48" s="21"/>
    </row>
    <row r="49" spans="1:11" ht="24.9" customHeight="1" x14ac:dyDescent="0.25">
      <c r="A49" s="21">
        <v>47</v>
      </c>
      <c r="B49" s="15" t="s">
        <v>233</v>
      </c>
      <c r="C49" s="15">
        <f>IF(B49="","",_xlfn.MAXIFS($C$2:C48,$B$2:B48,B49)+1)</f>
        <v>9</v>
      </c>
      <c r="D49" s="29"/>
      <c r="E49" s="15" t="s">
        <v>228</v>
      </c>
      <c r="F49" s="18"/>
      <c r="G49" s="18">
        <v>46283</v>
      </c>
      <c r="H49" s="15"/>
      <c r="I49" s="15" t="s">
        <v>26</v>
      </c>
      <c r="J49" s="17">
        <f t="shared" si="1"/>
        <v>0</v>
      </c>
      <c r="K49" s="21"/>
    </row>
    <row r="50" spans="1:11" ht="30" customHeight="1" x14ac:dyDescent="0.25">
      <c r="A50" s="21">
        <v>48</v>
      </c>
      <c r="B50" s="15" t="s">
        <v>233</v>
      </c>
      <c r="C50" s="15">
        <f>IF(B50="","",_xlfn.MAXIFS($C$2:C49,$B$2:B49,B50)+1)</f>
        <v>10</v>
      </c>
      <c r="D50" s="29"/>
      <c r="E50" s="15" t="s">
        <v>228</v>
      </c>
      <c r="F50" s="18"/>
      <c r="G50" s="18">
        <v>46283</v>
      </c>
      <c r="H50" s="15"/>
      <c r="I50" s="15" t="s">
        <v>26</v>
      </c>
      <c r="J50" s="17">
        <f t="shared" si="1"/>
        <v>0</v>
      </c>
      <c r="K50" s="21"/>
    </row>
    <row r="51" spans="1:11" ht="31.5" customHeight="1" x14ac:dyDescent="0.25">
      <c r="A51" s="21">
        <v>49</v>
      </c>
      <c r="B51" s="15" t="s">
        <v>233</v>
      </c>
      <c r="C51" s="15">
        <f>IF(B51="","",_xlfn.MAXIFS($C$2:C50,$B$2:B50,B51)+1)</f>
        <v>11</v>
      </c>
      <c r="D51" s="29"/>
      <c r="E51" s="15" t="s">
        <v>228</v>
      </c>
      <c r="F51" s="18"/>
      <c r="G51" s="18">
        <v>46283</v>
      </c>
      <c r="H51" s="15"/>
      <c r="I51" s="15" t="s">
        <v>26</v>
      </c>
      <c r="J51" s="17">
        <f t="shared" si="1"/>
        <v>0</v>
      </c>
      <c r="K51" s="21"/>
    </row>
    <row r="52" spans="1:11" ht="19.5" customHeight="1" x14ac:dyDescent="0.25">
      <c r="A52" s="21">
        <v>50</v>
      </c>
      <c r="B52" s="15" t="s">
        <v>233</v>
      </c>
      <c r="C52" s="15">
        <f>IF(B52="","",_xlfn.MAXIFS($C$2:C51,$B$2:B51,B52)+1)</f>
        <v>12</v>
      </c>
      <c r="D52" s="29"/>
      <c r="E52" s="15" t="s">
        <v>228</v>
      </c>
      <c r="F52" s="18"/>
      <c r="G52" s="18">
        <v>46283</v>
      </c>
      <c r="H52" s="15"/>
      <c r="I52" s="15" t="s">
        <v>26</v>
      </c>
      <c r="J52" s="17">
        <f t="shared" si="1"/>
        <v>0</v>
      </c>
      <c r="K52" s="21"/>
    </row>
    <row r="53" spans="1:11" ht="25.5" customHeight="1" x14ac:dyDescent="0.25">
      <c r="A53" s="21">
        <v>51</v>
      </c>
      <c r="B53" s="15" t="s">
        <v>233</v>
      </c>
      <c r="C53" s="15">
        <f>IF(B53="","",_xlfn.MAXIFS($C$2:C52,$B$2:B52,B53)+1)</f>
        <v>13</v>
      </c>
      <c r="D53" s="29"/>
      <c r="E53" s="15" t="s">
        <v>228</v>
      </c>
      <c r="F53" s="18"/>
      <c r="G53" s="18">
        <v>46283</v>
      </c>
      <c r="H53" s="15"/>
      <c r="I53" s="15" t="s">
        <v>18</v>
      </c>
      <c r="J53" s="17">
        <f t="shared" si="1"/>
        <v>1</v>
      </c>
      <c r="K53" s="21"/>
    </row>
    <row r="54" spans="1:11" hidden="1" x14ac:dyDescent="0.25">
      <c r="A54" s="21">
        <v>52</v>
      </c>
      <c r="B54" s="15" t="s">
        <v>234</v>
      </c>
      <c r="C54" s="15">
        <f>IF(B54="","",_xlfn.MAXIFS($C$2:C53,$B$2:B53,B54)+1)</f>
        <v>1</v>
      </c>
      <c r="D54" s="29"/>
      <c r="E54" s="15" t="s">
        <v>228</v>
      </c>
      <c r="F54" s="18"/>
      <c r="G54" s="18">
        <v>46283</v>
      </c>
      <c r="H54" s="15"/>
      <c r="I54" s="15" t="s">
        <v>25</v>
      </c>
      <c r="J54" s="17">
        <f t="shared" si="1"/>
        <v>2</v>
      </c>
      <c r="K54" s="21"/>
    </row>
    <row r="55" spans="1:11" hidden="1" x14ac:dyDescent="0.25">
      <c r="A55" s="21">
        <v>53</v>
      </c>
      <c r="B55" s="15" t="s">
        <v>234</v>
      </c>
      <c r="C55" s="15">
        <f>IF(B55="","",_xlfn.MAXIFS($C$2:C54,$B$2:B54,B55)+1)</f>
        <v>2</v>
      </c>
      <c r="D55" s="29"/>
      <c r="E55" s="15" t="s">
        <v>228</v>
      </c>
      <c r="F55" s="18"/>
      <c r="G55" s="18">
        <v>46283</v>
      </c>
      <c r="H55" s="15"/>
      <c r="I55" s="15" t="s">
        <v>25</v>
      </c>
      <c r="J55" s="17">
        <f t="shared" si="1"/>
        <v>2</v>
      </c>
      <c r="K55" s="21"/>
    </row>
    <row r="56" spans="1:11" hidden="1" x14ac:dyDescent="0.25">
      <c r="A56" s="21">
        <v>54</v>
      </c>
      <c r="B56" s="15" t="s">
        <v>234</v>
      </c>
      <c r="C56" s="15">
        <f>IF(B56="","",_xlfn.MAXIFS($C$2:C55,$B$2:B55,B56)+1)</f>
        <v>3</v>
      </c>
      <c r="D56" s="29"/>
      <c r="E56" s="15" t="s">
        <v>228</v>
      </c>
      <c r="F56" s="18"/>
      <c r="G56" s="18">
        <v>46283</v>
      </c>
      <c r="H56" s="15"/>
      <c r="I56" s="15" t="s">
        <v>25</v>
      </c>
      <c r="J56" s="17">
        <f t="shared" si="1"/>
        <v>2</v>
      </c>
      <c r="K56" s="21"/>
    </row>
    <row r="57" spans="1:11" hidden="1" x14ac:dyDescent="0.25">
      <c r="A57" s="21">
        <v>55</v>
      </c>
      <c r="B57" s="15" t="s">
        <v>234</v>
      </c>
      <c r="C57" s="15">
        <f>IF(B57="","",_xlfn.MAXIFS($C$2:C56,$B$2:B56,B57)+1)</f>
        <v>4</v>
      </c>
      <c r="D57" s="29"/>
      <c r="E57" s="15" t="s">
        <v>228</v>
      </c>
      <c r="F57" s="18"/>
      <c r="G57" s="18">
        <v>46283</v>
      </c>
      <c r="H57" s="15"/>
      <c r="I57" s="15" t="s">
        <v>25</v>
      </c>
      <c r="J57" s="17">
        <f t="shared" si="1"/>
        <v>2</v>
      </c>
      <c r="K57" s="21"/>
    </row>
    <row r="58" spans="1:11" hidden="1" x14ac:dyDescent="0.25">
      <c r="A58" s="21">
        <v>56</v>
      </c>
      <c r="B58" s="15" t="s">
        <v>234</v>
      </c>
      <c r="C58" s="15">
        <f>IF(B58="","",_xlfn.MAXIFS($C$2:C57,$B$2:B57,B58)+1)</f>
        <v>5</v>
      </c>
      <c r="D58" s="29"/>
      <c r="E58" s="15" t="s">
        <v>228</v>
      </c>
      <c r="F58" s="18"/>
      <c r="G58" s="18">
        <v>46283</v>
      </c>
      <c r="H58" s="15"/>
      <c r="I58" s="15" t="s">
        <v>25</v>
      </c>
      <c r="J58" s="17">
        <f t="shared" si="1"/>
        <v>2</v>
      </c>
      <c r="K58" s="21"/>
    </row>
    <row r="59" spans="1:11" hidden="1" x14ac:dyDescent="0.25">
      <c r="A59" s="21">
        <v>57</v>
      </c>
      <c r="B59" s="15" t="s">
        <v>234</v>
      </c>
      <c r="C59" s="15">
        <f>IF(B59="","",_xlfn.MAXIFS($C$2:C58,$B$2:B58,B59)+1)</f>
        <v>6</v>
      </c>
      <c r="D59" s="29"/>
      <c r="E59" s="15" t="s">
        <v>228</v>
      </c>
      <c r="F59" s="18"/>
      <c r="G59" s="18">
        <v>46283</v>
      </c>
      <c r="H59" s="15"/>
      <c r="I59" s="15" t="s">
        <v>25</v>
      </c>
      <c r="J59" s="17">
        <f t="shared" si="1"/>
        <v>2</v>
      </c>
      <c r="K59" s="21"/>
    </row>
    <row r="60" spans="1:11" hidden="1" x14ac:dyDescent="0.25">
      <c r="A60" s="21">
        <v>58</v>
      </c>
      <c r="B60" s="21" t="s">
        <v>234</v>
      </c>
      <c r="C60" s="15">
        <f>IF(B60="","",_xlfn.MAXIFS($C$2:C59,$B$2:B59,B60)+1)</f>
        <v>7</v>
      </c>
      <c r="D60" s="33"/>
      <c r="E60" s="21" t="s">
        <v>228</v>
      </c>
      <c r="F60" s="34"/>
      <c r="G60" s="34">
        <v>46283</v>
      </c>
      <c r="H60" s="21"/>
      <c r="I60" s="15" t="s">
        <v>25</v>
      </c>
      <c r="J60" s="17">
        <f t="shared" si="1"/>
        <v>2</v>
      </c>
      <c r="K60" s="21"/>
    </row>
    <row r="61" spans="1:11" hidden="1" x14ac:dyDescent="0.25">
      <c r="A61" s="21">
        <v>59</v>
      </c>
      <c r="B61" s="15" t="s">
        <v>234</v>
      </c>
      <c r="C61" s="15">
        <f>IF(B61="","",_xlfn.MAXIFS($C$2:C60,$B$2:B60,B61)+1)</f>
        <v>8</v>
      </c>
      <c r="D61" s="29"/>
      <c r="E61" s="15" t="s">
        <v>228</v>
      </c>
      <c r="F61" s="18"/>
      <c r="G61" s="18">
        <v>46283</v>
      </c>
      <c r="H61" s="15"/>
      <c r="I61" s="15" t="s">
        <v>26</v>
      </c>
      <c r="J61" s="17">
        <f t="shared" si="1"/>
        <v>0</v>
      </c>
      <c r="K61" s="21"/>
    </row>
    <row r="62" spans="1:11" hidden="1" x14ac:dyDescent="0.25">
      <c r="A62" s="21">
        <v>60</v>
      </c>
      <c r="B62" s="15" t="s">
        <v>234</v>
      </c>
      <c r="C62" s="15">
        <f>IF(B62="","",_xlfn.MAXIFS($C$2:C61,$B$2:B61,B62)+1)</f>
        <v>9</v>
      </c>
      <c r="D62" s="29"/>
      <c r="E62" s="15" t="s">
        <v>228</v>
      </c>
      <c r="F62" s="18"/>
      <c r="G62" s="18">
        <v>46283</v>
      </c>
      <c r="H62" s="15"/>
      <c r="I62" s="15" t="s">
        <v>26</v>
      </c>
      <c r="J62" s="17">
        <f t="shared" si="1"/>
        <v>0</v>
      </c>
      <c r="K62" s="21"/>
    </row>
    <row r="63" spans="1:11" hidden="1" x14ac:dyDescent="0.25">
      <c r="A63" s="21">
        <v>61</v>
      </c>
      <c r="B63" s="15" t="s">
        <v>234</v>
      </c>
      <c r="C63" s="15">
        <f>IF(B63="","",_xlfn.MAXIFS($C$2:C62,$B$2:B62,B63)+1)</f>
        <v>10</v>
      </c>
      <c r="D63" s="29"/>
      <c r="E63" s="15" t="s">
        <v>228</v>
      </c>
      <c r="F63" s="18"/>
      <c r="G63" s="18">
        <v>46283</v>
      </c>
      <c r="H63" s="15"/>
      <c r="I63" s="15" t="s">
        <v>18</v>
      </c>
      <c r="J63" s="17">
        <f t="shared" si="1"/>
        <v>1</v>
      </c>
      <c r="K63" s="21"/>
    </row>
    <row r="64" spans="1:11" hidden="1" x14ac:dyDescent="0.25">
      <c r="A64" s="21">
        <v>62</v>
      </c>
      <c r="B64" s="15" t="s">
        <v>234</v>
      </c>
      <c r="C64" s="15">
        <f>IF(B64="","",_xlfn.MAXIFS($C$2:C63,$B$2:B63,B64)+1)</f>
        <v>11</v>
      </c>
      <c r="D64" s="29"/>
      <c r="E64" s="15" t="s">
        <v>228</v>
      </c>
      <c r="F64" s="18"/>
      <c r="G64" s="18">
        <v>46283</v>
      </c>
      <c r="H64" s="15"/>
      <c r="I64" s="15" t="s">
        <v>18</v>
      </c>
      <c r="J64" s="17">
        <f t="shared" si="1"/>
        <v>1</v>
      </c>
      <c r="K64" s="21"/>
    </row>
    <row r="65" spans="1:11" hidden="1" x14ac:dyDescent="0.25">
      <c r="A65" s="21">
        <v>63</v>
      </c>
      <c r="B65" s="15" t="s">
        <v>33</v>
      </c>
      <c r="C65" s="15">
        <f>IF(B65="","",_xlfn.MAXIFS($C$2:C64,$B$2:B64,B65)+1)</f>
        <v>1</v>
      </c>
      <c r="D65" s="29"/>
      <c r="E65" s="15" t="s">
        <v>228</v>
      </c>
      <c r="F65" s="19"/>
      <c r="G65" s="18">
        <v>46283</v>
      </c>
      <c r="H65" s="15"/>
      <c r="I65" s="15" t="s">
        <v>18</v>
      </c>
      <c r="J65" s="17">
        <f t="shared" si="1"/>
        <v>1</v>
      </c>
      <c r="K65" s="21"/>
    </row>
    <row r="66" spans="1:11" hidden="1" x14ac:dyDescent="0.25">
      <c r="A66" s="21">
        <v>64</v>
      </c>
      <c r="B66" s="15" t="s">
        <v>33</v>
      </c>
      <c r="C66" s="15">
        <f>IF(B66="","",_xlfn.MAXIFS($C$2:C65,$B$2:B65,B66)+1)</f>
        <v>2</v>
      </c>
      <c r="D66" s="29"/>
      <c r="E66" s="15" t="s">
        <v>228</v>
      </c>
      <c r="F66" s="19"/>
      <c r="G66" s="18">
        <v>46283</v>
      </c>
      <c r="H66" s="15"/>
      <c r="I66" s="15" t="s">
        <v>18</v>
      </c>
      <c r="J66" s="17">
        <f t="shared" si="1"/>
        <v>1</v>
      </c>
      <c r="K66" s="21"/>
    </row>
    <row r="67" spans="1:11" hidden="1" x14ac:dyDescent="0.25">
      <c r="A67" s="21">
        <v>65</v>
      </c>
      <c r="B67" s="15" t="s">
        <v>33</v>
      </c>
      <c r="C67" s="15">
        <f>IF(B67="","",_xlfn.MAXIFS($C$2:C66,$B$2:B66,B67)+1)</f>
        <v>3</v>
      </c>
      <c r="D67" s="29"/>
      <c r="E67" s="15" t="s">
        <v>228</v>
      </c>
      <c r="F67" s="19"/>
      <c r="G67" s="18">
        <v>46283</v>
      </c>
      <c r="H67" s="15"/>
      <c r="I67" s="15" t="s">
        <v>26</v>
      </c>
      <c r="J67" s="17">
        <f t="shared" ref="J67:J98" si="2">IF(I67="Concluído",2,IF(I67="Andamento",1,IF(I67="Atrasado",0,"")))</f>
        <v>0</v>
      </c>
      <c r="K67" s="21"/>
    </row>
    <row r="68" spans="1:11" hidden="1" x14ac:dyDescent="0.25">
      <c r="A68" s="21">
        <v>66</v>
      </c>
      <c r="B68" s="15" t="s">
        <v>33</v>
      </c>
      <c r="C68" s="15">
        <f>IF(B68="","",_xlfn.MAXIFS($C$2:C67,$B$2:B67,B68)+1)</f>
        <v>4</v>
      </c>
      <c r="D68" s="29"/>
      <c r="E68" s="15" t="s">
        <v>228</v>
      </c>
      <c r="F68" s="19"/>
      <c r="G68" s="18">
        <v>46283</v>
      </c>
      <c r="H68" s="15"/>
      <c r="I68" s="15" t="s">
        <v>26</v>
      </c>
      <c r="J68" s="17">
        <f t="shared" si="2"/>
        <v>0</v>
      </c>
      <c r="K68" s="21"/>
    </row>
    <row r="69" spans="1:11" hidden="1" x14ac:dyDescent="0.25">
      <c r="A69" s="21">
        <v>67</v>
      </c>
      <c r="B69" s="15" t="s">
        <v>33</v>
      </c>
      <c r="C69" s="15">
        <f>IF(B69="","",_xlfn.MAXIFS($C$2:C68,$B$2:B68,B69)+1)</f>
        <v>5</v>
      </c>
      <c r="D69" s="29"/>
      <c r="E69" s="15" t="s">
        <v>228</v>
      </c>
      <c r="F69" s="19"/>
      <c r="G69" s="18">
        <v>46283</v>
      </c>
      <c r="H69" s="15"/>
      <c r="I69" s="15" t="s">
        <v>25</v>
      </c>
      <c r="J69" s="17">
        <f t="shared" si="2"/>
        <v>2</v>
      </c>
      <c r="K69" s="21"/>
    </row>
    <row r="70" spans="1:11" hidden="1" x14ac:dyDescent="0.25">
      <c r="A70" s="21">
        <v>68</v>
      </c>
      <c r="B70" s="15" t="s">
        <v>33</v>
      </c>
      <c r="C70" s="15">
        <f>IF(B70="","",_xlfn.MAXIFS($C$2:C69,$B$2:B69,B70)+1)</f>
        <v>6</v>
      </c>
      <c r="D70" s="29"/>
      <c r="E70" s="15" t="s">
        <v>228</v>
      </c>
      <c r="F70" s="19"/>
      <c r="G70" s="18">
        <v>46283</v>
      </c>
      <c r="H70" s="15"/>
      <c r="I70" s="15" t="s">
        <v>25</v>
      </c>
      <c r="J70" s="17">
        <f t="shared" si="2"/>
        <v>2</v>
      </c>
      <c r="K70" s="21"/>
    </row>
    <row r="71" spans="1:11" hidden="1" x14ac:dyDescent="0.25">
      <c r="A71" s="21">
        <v>69</v>
      </c>
      <c r="B71" s="15" t="s">
        <v>33</v>
      </c>
      <c r="C71" s="15">
        <f>IF(B71="","",_xlfn.MAXIFS($C$2:C70,$B$2:B70,B71)+1)</f>
        <v>7</v>
      </c>
      <c r="D71" s="29"/>
      <c r="E71" s="15" t="s">
        <v>228</v>
      </c>
      <c r="F71" s="19"/>
      <c r="G71" s="18">
        <v>46283</v>
      </c>
      <c r="H71" s="15"/>
      <c r="I71" s="15" t="s">
        <v>25</v>
      </c>
      <c r="J71" s="17">
        <f t="shared" si="2"/>
        <v>2</v>
      </c>
      <c r="K71" s="21"/>
    </row>
    <row r="72" spans="1:11" hidden="1" x14ac:dyDescent="0.25">
      <c r="A72" s="21">
        <v>70</v>
      </c>
      <c r="B72" s="15" t="s">
        <v>33</v>
      </c>
      <c r="C72" s="15">
        <f>IF(B72="","",_xlfn.MAXIFS($C$2:C71,$B$2:B71,B72)+1)</f>
        <v>8</v>
      </c>
      <c r="D72" s="29"/>
      <c r="E72" s="15" t="s">
        <v>228</v>
      </c>
      <c r="F72" s="19"/>
      <c r="G72" s="18">
        <v>46283</v>
      </c>
      <c r="H72" s="15"/>
      <c r="I72" s="15" t="s">
        <v>25</v>
      </c>
      <c r="J72" s="17">
        <f t="shared" si="2"/>
        <v>2</v>
      </c>
      <c r="K72" s="21"/>
    </row>
    <row r="73" spans="1:11" hidden="1" x14ac:dyDescent="0.25">
      <c r="A73" s="21">
        <v>71</v>
      </c>
      <c r="B73" s="15" t="s">
        <v>33</v>
      </c>
      <c r="C73" s="15">
        <f>IF(B73="","",_xlfn.MAXIFS($C$2:C72,$B$2:B72,B73)+1)</f>
        <v>9</v>
      </c>
      <c r="D73" s="29"/>
      <c r="E73" s="15" t="s">
        <v>228</v>
      </c>
      <c r="F73" s="19"/>
      <c r="G73" s="18">
        <v>46283</v>
      </c>
      <c r="H73" s="15"/>
      <c r="I73" s="15" t="s">
        <v>25</v>
      </c>
      <c r="J73" s="17">
        <f t="shared" si="2"/>
        <v>2</v>
      </c>
      <c r="K73" s="21"/>
    </row>
    <row r="74" spans="1:11" hidden="1" x14ac:dyDescent="0.25">
      <c r="A74" s="21">
        <v>72</v>
      </c>
      <c r="B74" s="15" t="s">
        <v>33</v>
      </c>
      <c r="C74" s="15">
        <f>IF(B74="","",_xlfn.MAXIFS($C$2:C73,$B$2:B73,B74)+1)</f>
        <v>10</v>
      </c>
      <c r="D74" s="29"/>
      <c r="E74" s="15" t="s">
        <v>228</v>
      </c>
      <c r="F74" s="19"/>
      <c r="G74" s="18">
        <v>46283</v>
      </c>
      <c r="H74" s="15"/>
      <c r="I74" s="15" t="s">
        <v>25</v>
      </c>
      <c r="J74" s="17">
        <f t="shared" si="2"/>
        <v>2</v>
      </c>
      <c r="K74" s="21"/>
    </row>
    <row r="75" spans="1:11" hidden="1" x14ac:dyDescent="0.25">
      <c r="A75" s="21">
        <v>73</v>
      </c>
      <c r="B75" s="15" t="s">
        <v>225</v>
      </c>
      <c r="C75" s="15">
        <f>IF(B75="","",_xlfn.MAXIFS($C$2:C74,$B$2:B74,B75)+1)</f>
        <v>1</v>
      </c>
      <c r="D75" s="29"/>
      <c r="E75" s="15" t="s">
        <v>228</v>
      </c>
      <c r="F75" s="19"/>
      <c r="G75" s="18">
        <v>46283</v>
      </c>
      <c r="H75" s="15"/>
      <c r="I75" s="15" t="s">
        <v>18</v>
      </c>
      <c r="J75" s="17">
        <f t="shared" si="2"/>
        <v>1</v>
      </c>
      <c r="K75" s="21"/>
    </row>
    <row r="76" spans="1:11" hidden="1" x14ac:dyDescent="0.25">
      <c r="A76" s="21">
        <v>74</v>
      </c>
      <c r="B76" s="15" t="s">
        <v>225</v>
      </c>
      <c r="C76" s="15">
        <f>IF(B76="","",_xlfn.MAXIFS($C$2:C75,$B$2:B75,B76)+1)</f>
        <v>2</v>
      </c>
      <c r="D76" s="29"/>
      <c r="E76" s="15" t="s">
        <v>228</v>
      </c>
      <c r="F76" s="19"/>
      <c r="G76" s="18">
        <v>46283</v>
      </c>
      <c r="H76" s="15"/>
      <c r="I76" s="15" t="s">
        <v>18</v>
      </c>
      <c r="J76" s="17">
        <f t="shared" si="2"/>
        <v>1</v>
      </c>
      <c r="K76" s="21"/>
    </row>
    <row r="77" spans="1:11" hidden="1" x14ac:dyDescent="0.25">
      <c r="A77" s="21">
        <v>75</v>
      </c>
      <c r="B77" s="15" t="s">
        <v>225</v>
      </c>
      <c r="C77" s="15">
        <f>IF(B77="","",_xlfn.MAXIFS($C$2:C76,$B$2:B76,B77)+1)</f>
        <v>3</v>
      </c>
      <c r="D77" s="29"/>
      <c r="E77" s="15" t="s">
        <v>228</v>
      </c>
      <c r="F77" s="19"/>
      <c r="G77" s="18">
        <v>46283</v>
      </c>
      <c r="H77" s="15"/>
      <c r="I77" s="15" t="s">
        <v>18</v>
      </c>
      <c r="J77" s="17">
        <f t="shared" si="2"/>
        <v>1</v>
      </c>
      <c r="K77" s="21"/>
    </row>
    <row r="78" spans="1:11" hidden="1" x14ac:dyDescent="0.25">
      <c r="A78" s="21">
        <v>76</v>
      </c>
      <c r="B78" s="15" t="s">
        <v>225</v>
      </c>
      <c r="C78" s="15">
        <f>IF(B78="","",_xlfn.MAXIFS($C$2:C77,$B$2:B77,B78)+1)</f>
        <v>4</v>
      </c>
      <c r="D78" s="29"/>
      <c r="E78" s="15" t="s">
        <v>228</v>
      </c>
      <c r="F78" s="19"/>
      <c r="G78" s="18">
        <v>46283</v>
      </c>
      <c r="H78" s="15"/>
      <c r="I78" s="15" t="s">
        <v>18</v>
      </c>
      <c r="J78" s="17">
        <f t="shared" si="2"/>
        <v>1</v>
      </c>
      <c r="K78" s="21"/>
    </row>
    <row r="79" spans="1:11" hidden="1" x14ac:dyDescent="0.25">
      <c r="A79" s="21">
        <v>77</v>
      </c>
      <c r="B79" s="15" t="s">
        <v>225</v>
      </c>
      <c r="C79" s="15">
        <f>IF(B79="","",_xlfn.MAXIFS($C$2:C78,$B$2:B78,B79)+1)</f>
        <v>5</v>
      </c>
      <c r="D79" s="29"/>
      <c r="E79" s="15" t="s">
        <v>228</v>
      </c>
      <c r="F79" s="19"/>
      <c r="G79" s="18">
        <v>46283</v>
      </c>
      <c r="H79" s="15"/>
      <c r="I79" s="15" t="s">
        <v>18</v>
      </c>
      <c r="J79" s="17">
        <f t="shared" si="2"/>
        <v>1</v>
      </c>
      <c r="K79" s="21"/>
    </row>
    <row r="80" spans="1:11" hidden="1" x14ac:dyDescent="0.25">
      <c r="A80" s="21">
        <v>78</v>
      </c>
      <c r="B80" s="15" t="s">
        <v>225</v>
      </c>
      <c r="C80" s="15">
        <f>IF(B80="","",_xlfn.MAXIFS($C$2:C79,$B$2:B79,B80)+1)</f>
        <v>6</v>
      </c>
      <c r="D80" s="29"/>
      <c r="E80" s="15" t="s">
        <v>228</v>
      </c>
      <c r="F80" s="19"/>
      <c r="G80" s="18">
        <v>46283</v>
      </c>
      <c r="H80" s="15"/>
      <c r="I80" s="15" t="s">
        <v>18</v>
      </c>
      <c r="J80" s="17">
        <f t="shared" si="2"/>
        <v>1</v>
      </c>
      <c r="K80" s="21"/>
    </row>
    <row r="81" spans="1:11" hidden="1" x14ac:dyDescent="0.25">
      <c r="A81" s="21">
        <v>79</v>
      </c>
      <c r="B81" s="15" t="s">
        <v>225</v>
      </c>
      <c r="C81" s="15">
        <f>IF(B81="","",_xlfn.MAXIFS($C$2:C80,$B$2:B80,B81)+1)</f>
        <v>7</v>
      </c>
      <c r="D81" s="29"/>
      <c r="E81" s="15" t="s">
        <v>228</v>
      </c>
      <c r="F81" s="19"/>
      <c r="G81" s="18">
        <v>46283</v>
      </c>
      <c r="H81" s="15"/>
      <c r="I81" s="15" t="s">
        <v>18</v>
      </c>
      <c r="J81" s="17">
        <f t="shared" si="2"/>
        <v>1</v>
      </c>
      <c r="K81" s="21"/>
    </row>
    <row r="82" spans="1:11" hidden="1" x14ac:dyDescent="0.25">
      <c r="A82" s="21">
        <v>80</v>
      </c>
      <c r="B82" s="15" t="s">
        <v>225</v>
      </c>
      <c r="C82" s="15">
        <f>IF(B82="","",_xlfn.MAXIFS($C$2:C81,$B$2:B81,B82)+1)</f>
        <v>8</v>
      </c>
      <c r="D82" s="29"/>
      <c r="E82" s="15" t="s">
        <v>228</v>
      </c>
      <c r="F82" s="19"/>
      <c r="G82" s="18">
        <v>46283</v>
      </c>
      <c r="H82" s="15"/>
      <c r="I82" s="15" t="s">
        <v>18</v>
      </c>
      <c r="J82" s="17">
        <f t="shared" si="2"/>
        <v>1</v>
      </c>
      <c r="K82" s="21"/>
    </row>
    <row r="83" spans="1:11" hidden="1" x14ac:dyDescent="0.25">
      <c r="A83" s="21">
        <v>81</v>
      </c>
      <c r="B83" s="15" t="s">
        <v>225</v>
      </c>
      <c r="C83" s="15">
        <f>IF(B83="","",_xlfn.MAXIFS($C$2:C82,$B$2:B82,B83)+1)</f>
        <v>9</v>
      </c>
      <c r="D83" s="29"/>
      <c r="E83" s="15" t="s">
        <v>228</v>
      </c>
      <c r="F83" s="19"/>
      <c r="G83" s="18">
        <v>46283</v>
      </c>
      <c r="H83" s="15"/>
      <c r="I83" s="15" t="s">
        <v>18</v>
      </c>
      <c r="J83" s="17">
        <f t="shared" si="2"/>
        <v>1</v>
      </c>
      <c r="K83" s="21"/>
    </row>
    <row r="84" spans="1:11" hidden="1" x14ac:dyDescent="0.25">
      <c r="A84" s="21">
        <v>82</v>
      </c>
      <c r="B84" s="15" t="s">
        <v>225</v>
      </c>
      <c r="C84" s="15">
        <f>IF(B84="","",_xlfn.MAXIFS($C$2:C83,$B$2:B83,B84)+1)</f>
        <v>10</v>
      </c>
      <c r="D84" s="29"/>
      <c r="E84" s="15" t="s">
        <v>228</v>
      </c>
      <c r="F84" s="19"/>
      <c r="G84" s="18">
        <v>46283</v>
      </c>
      <c r="H84" s="15"/>
      <c r="I84" s="15" t="s">
        <v>18</v>
      </c>
      <c r="J84" s="17">
        <f t="shared" si="2"/>
        <v>1</v>
      </c>
      <c r="K84" s="21"/>
    </row>
    <row r="85" spans="1:11" hidden="1" x14ac:dyDescent="0.25">
      <c r="A85" s="21">
        <v>83</v>
      </c>
      <c r="B85" s="15" t="s">
        <v>225</v>
      </c>
      <c r="C85" s="15">
        <f>IF(B85="","",_xlfn.MAXIFS($C$2:C84,$B$2:B84,B85)+1)</f>
        <v>11</v>
      </c>
      <c r="D85" s="29"/>
      <c r="E85" s="15" t="s">
        <v>228</v>
      </c>
      <c r="F85" s="19"/>
      <c r="G85" s="18">
        <v>46283</v>
      </c>
      <c r="H85" s="15"/>
      <c r="I85" s="15" t="s">
        <v>18</v>
      </c>
      <c r="J85" s="17">
        <f t="shared" si="2"/>
        <v>1</v>
      </c>
      <c r="K85" s="21"/>
    </row>
    <row r="86" spans="1:11" hidden="1" x14ac:dyDescent="0.25">
      <c r="A86" s="21">
        <v>84</v>
      </c>
      <c r="B86" s="15" t="s">
        <v>225</v>
      </c>
      <c r="C86" s="15">
        <f>IF(B86="","",_xlfn.MAXIFS($C$2:C85,$B$2:B85,B86)+1)</f>
        <v>12</v>
      </c>
      <c r="D86" s="29"/>
      <c r="E86" s="15" t="s">
        <v>228</v>
      </c>
      <c r="F86" s="19"/>
      <c r="G86" s="18">
        <v>46283</v>
      </c>
      <c r="H86" s="15"/>
      <c r="I86" s="15" t="s">
        <v>18</v>
      </c>
      <c r="J86" s="17">
        <f t="shared" si="2"/>
        <v>1</v>
      </c>
      <c r="K86" s="21"/>
    </row>
    <row r="87" spans="1:11" hidden="1" x14ac:dyDescent="0.25">
      <c r="A87" s="21">
        <v>85</v>
      </c>
      <c r="B87" s="15" t="s">
        <v>225</v>
      </c>
      <c r="C87" s="15">
        <f>IF(B87="","",_xlfn.MAXIFS($C$2:C86,$B$2:B86,B87)+1)</f>
        <v>13</v>
      </c>
      <c r="D87" s="29"/>
      <c r="E87" s="15" t="s">
        <v>228</v>
      </c>
      <c r="F87" s="19"/>
      <c r="G87" s="18">
        <v>46283</v>
      </c>
      <c r="H87" s="15"/>
      <c r="I87" s="15" t="s">
        <v>18</v>
      </c>
      <c r="J87" s="17">
        <f t="shared" si="2"/>
        <v>1</v>
      </c>
      <c r="K87" s="21"/>
    </row>
    <row r="88" spans="1:11" hidden="1" x14ac:dyDescent="0.25">
      <c r="A88" s="21">
        <v>86</v>
      </c>
      <c r="B88" s="15" t="s">
        <v>46</v>
      </c>
      <c r="C88" s="15">
        <f>IF(B88="","",_xlfn.MAXIFS($C$2:C87,$B$2:B87,B88)+1)</f>
        <v>1</v>
      </c>
      <c r="D88" s="29"/>
      <c r="E88" s="15" t="s">
        <v>228</v>
      </c>
      <c r="F88" s="19"/>
      <c r="G88" s="18">
        <v>46283</v>
      </c>
      <c r="H88" s="15"/>
      <c r="I88" s="15" t="s">
        <v>25</v>
      </c>
      <c r="J88" s="17">
        <f t="shared" si="2"/>
        <v>2</v>
      </c>
      <c r="K88" s="21"/>
    </row>
    <row r="89" spans="1:11" hidden="1" x14ac:dyDescent="0.25">
      <c r="A89" s="21">
        <v>87</v>
      </c>
      <c r="B89" s="15" t="s">
        <v>46</v>
      </c>
      <c r="C89" s="15">
        <f>IF(B89="","",_xlfn.MAXIFS($C$2:C88,$B$2:B88,B89)+1)</f>
        <v>2</v>
      </c>
      <c r="D89" s="29"/>
      <c r="E89" s="15" t="s">
        <v>228</v>
      </c>
      <c r="F89" s="19"/>
      <c r="G89" s="18">
        <v>46283</v>
      </c>
      <c r="H89" s="15"/>
      <c r="I89" s="15" t="s">
        <v>25</v>
      </c>
      <c r="J89" s="17">
        <f t="shared" si="2"/>
        <v>2</v>
      </c>
      <c r="K89" s="21"/>
    </row>
    <row r="90" spans="1:11" hidden="1" x14ac:dyDescent="0.25">
      <c r="A90" s="21">
        <v>88</v>
      </c>
      <c r="B90" s="15" t="s">
        <v>46</v>
      </c>
      <c r="C90" s="15">
        <f>IF(B90="","",_xlfn.MAXIFS($C$2:C89,$B$2:B89,B90)+1)</f>
        <v>3</v>
      </c>
      <c r="D90" s="29"/>
      <c r="E90" s="15" t="s">
        <v>228</v>
      </c>
      <c r="F90" s="19"/>
      <c r="G90" s="18">
        <v>46283</v>
      </c>
      <c r="H90" s="15"/>
      <c r="I90" s="15" t="s">
        <v>25</v>
      </c>
      <c r="J90" s="17">
        <f t="shared" si="2"/>
        <v>2</v>
      </c>
      <c r="K90" s="21"/>
    </row>
    <row r="91" spans="1:11" hidden="1" x14ac:dyDescent="0.25">
      <c r="A91" s="21">
        <v>89</v>
      </c>
      <c r="B91" s="15" t="s">
        <v>46</v>
      </c>
      <c r="C91" s="15">
        <f>IF(B91="","",_xlfn.MAXIFS($C$2:C90,$B$2:B90,B91)+1)</f>
        <v>4</v>
      </c>
      <c r="D91" s="29"/>
      <c r="E91" s="15" t="s">
        <v>228</v>
      </c>
      <c r="F91" s="19"/>
      <c r="G91" s="18">
        <v>46283</v>
      </c>
      <c r="H91" s="15"/>
      <c r="I91" s="15" t="s">
        <v>26</v>
      </c>
      <c r="J91" s="17">
        <f t="shared" si="2"/>
        <v>0</v>
      </c>
      <c r="K91" s="21"/>
    </row>
    <row r="92" spans="1:11" hidden="1" x14ac:dyDescent="0.25">
      <c r="A92" s="21">
        <v>90</v>
      </c>
      <c r="B92" s="15" t="s">
        <v>46</v>
      </c>
      <c r="C92" s="15">
        <f>IF(B92="","",_xlfn.MAXIFS($C$2:C91,$B$2:B91,B92)+1)</f>
        <v>5</v>
      </c>
      <c r="D92" s="29"/>
      <c r="E92" s="15" t="s">
        <v>228</v>
      </c>
      <c r="F92" s="19"/>
      <c r="G92" s="18">
        <v>46283</v>
      </c>
      <c r="H92" s="15"/>
      <c r="I92" s="15" t="s">
        <v>26</v>
      </c>
      <c r="J92" s="17">
        <f t="shared" si="2"/>
        <v>0</v>
      </c>
      <c r="K92" s="21"/>
    </row>
    <row r="93" spans="1:11" hidden="1" x14ac:dyDescent="0.25">
      <c r="A93" s="21">
        <v>91</v>
      </c>
      <c r="B93" s="15" t="s">
        <v>46</v>
      </c>
      <c r="C93" s="15">
        <f>IF(B93="","",_xlfn.MAXIFS($C$2:C92,$B$2:B92,B93)+1)</f>
        <v>6</v>
      </c>
      <c r="D93" s="29"/>
      <c r="E93" s="15" t="s">
        <v>228</v>
      </c>
      <c r="F93" s="19"/>
      <c r="G93" s="18">
        <v>46283</v>
      </c>
      <c r="H93" s="15"/>
      <c r="I93" s="15" t="s">
        <v>26</v>
      </c>
      <c r="J93" s="17">
        <f t="shared" si="2"/>
        <v>0</v>
      </c>
      <c r="K93" s="21"/>
    </row>
    <row r="94" spans="1:11" hidden="1" x14ac:dyDescent="0.25">
      <c r="A94" s="21">
        <v>92</v>
      </c>
      <c r="B94" s="15" t="s">
        <v>46</v>
      </c>
      <c r="C94" s="15">
        <f>IF(B94="","",_xlfn.MAXIFS($C$2:C93,$B$2:B93,B94)+1)</f>
        <v>7</v>
      </c>
      <c r="D94" s="29"/>
      <c r="E94" s="15" t="s">
        <v>228</v>
      </c>
      <c r="F94" s="19"/>
      <c r="G94" s="18">
        <v>46283</v>
      </c>
      <c r="H94" s="15"/>
      <c r="I94" s="15" t="s">
        <v>26</v>
      </c>
      <c r="J94" s="17">
        <f t="shared" si="2"/>
        <v>0</v>
      </c>
      <c r="K94" s="21"/>
    </row>
    <row r="95" spans="1:11" hidden="1" x14ac:dyDescent="0.25">
      <c r="A95" s="21">
        <v>93</v>
      </c>
      <c r="B95" s="15" t="s">
        <v>46</v>
      </c>
      <c r="C95" s="15">
        <f>IF(B95="","",_xlfn.MAXIFS($C$2:C94,$B$2:B94,B95)+1)</f>
        <v>8</v>
      </c>
      <c r="D95" s="29"/>
      <c r="E95" s="15" t="s">
        <v>228</v>
      </c>
      <c r="F95" s="19"/>
      <c r="G95" s="18">
        <v>46283</v>
      </c>
      <c r="H95" s="15"/>
      <c r="I95" s="15" t="s">
        <v>26</v>
      </c>
      <c r="J95" s="17">
        <f t="shared" si="2"/>
        <v>0</v>
      </c>
      <c r="K95" s="21"/>
    </row>
    <row r="96" spans="1:11" hidden="1" x14ac:dyDescent="0.25">
      <c r="A96" s="21">
        <v>94</v>
      </c>
      <c r="B96" s="15" t="s">
        <v>46</v>
      </c>
      <c r="C96" s="15">
        <f>IF(B96="","",_xlfn.MAXIFS($C$2:C95,$B$2:B95,B96)+1)</f>
        <v>9</v>
      </c>
      <c r="D96" s="29"/>
      <c r="E96" s="15" t="s">
        <v>228</v>
      </c>
      <c r="F96" s="19"/>
      <c r="G96" s="18">
        <v>46283</v>
      </c>
      <c r="H96" s="15"/>
      <c r="I96" s="15" t="s">
        <v>26</v>
      </c>
      <c r="J96" s="17">
        <f t="shared" si="2"/>
        <v>0</v>
      </c>
      <c r="K96" s="21"/>
    </row>
    <row r="97" spans="1:11" hidden="1" x14ac:dyDescent="0.25">
      <c r="A97" s="21">
        <v>95</v>
      </c>
      <c r="B97" s="15" t="s">
        <v>46</v>
      </c>
      <c r="C97" s="15">
        <f>IF(B97="","",_xlfn.MAXIFS($C$2:C96,$B$2:B96,B97)+1)</f>
        <v>10</v>
      </c>
      <c r="D97" s="29"/>
      <c r="E97" s="15" t="s">
        <v>228</v>
      </c>
      <c r="F97" s="19"/>
      <c r="G97" s="18">
        <v>46283</v>
      </c>
      <c r="H97" s="15"/>
      <c r="I97" s="15" t="s">
        <v>26</v>
      </c>
      <c r="J97" s="17">
        <f t="shared" si="2"/>
        <v>0</v>
      </c>
      <c r="K97" s="21"/>
    </row>
    <row r="98" spans="1:11" hidden="1" x14ac:dyDescent="0.25">
      <c r="A98" s="21">
        <v>96</v>
      </c>
      <c r="B98" s="15" t="s">
        <v>46</v>
      </c>
      <c r="C98" s="15">
        <f>IF(B98="","",_xlfn.MAXIFS($C$2:C97,$B$2:B97,B98)+1)</f>
        <v>11</v>
      </c>
      <c r="D98" s="29"/>
      <c r="E98" s="15" t="s">
        <v>228</v>
      </c>
      <c r="F98" s="19"/>
      <c r="G98" s="18">
        <v>46283</v>
      </c>
      <c r="H98" s="15"/>
      <c r="I98" s="15" t="s">
        <v>18</v>
      </c>
      <c r="J98" s="17">
        <f t="shared" si="2"/>
        <v>1</v>
      </c>
      <c r="K98" s="21"/>
    </row>
    <row r="99" spans="1:11" hidden="1" x14ac:dyDescent="0.25">
      <c r="A99" s="21">
        <v>97</v>
      </c>
      <c r="B99" s="15" t="s">
        <v>46</v>
      </c>
      <c r="C99" s="15">
        <f>IF(B99="","",_xlfn.MAXIFS($C$2:C98,$B$2:B98,B99)+1)</f>
        <v>12</v>
      </c>
      <c r="D99" s="29"/>
      <c r="E99" s="15" t="s">
        <v>228</v>
      </c>
      <c r="F99" s="19"/>
      <c r="G99" s="18">
        <v>46283</v>
      </c>
      <c r="H99" s="15"/>
      <c r="I99" s="15" t="s">
        <v>18</v>
      </c>
      <c r="J99" s="17">
        <f t="shared" ref="J99:J122" si="3">IF(I99="Concluído",2,IF(I99="Andamento",1,IF(I99="Atrasado",0,"")))</f>
        <v>1</v>
      </c>
      <c r="K99" s="21"/>
    </row>
    <row r="100" spans="1:11" hidden="1" x14ac:dyDescent="0.25">
      <c r="A100" s="21">
        <v>98</v>
      </c>
      <c r="B100" s="15" t="s">
        <v>46</v>
      </c>
      <c r="C100" s="15">
        <f>IF(B100="","",_xlfn.MAXIFS($C$2:C99,$B$2:B99,B100)+1)</f>
        <v>13</v>
      </c>
      <c r="D100" s="29"/>
      <c r="E100" s="15" t="s">
        <v>228</v>
      </c>
      <c r="F100" s="19"/>
      <c r="G100" s="18">
        <v>46283</v>
      </c>
      <c r="H100" s="15"/>
      <c r="I100" s="15" t="s">
        <v>18</v>
      </c>
      <c r="J100" s="17">
        <f t="shared" si="3"/>
        <v>1</v>
      </c>
      <c r="K100" s="21"/>
    </row>
    <row r="101" spans="1:11" hidden="1" x14ac:dyDescent="0.25">
      <c r="A101" s="21">
        <v>99</v>
      </c>
      <c r="B101" s="15" t="s">
        <v>46</v>
      </c>
      <c r="C101" s="15">
        <f>IF(B101="","",_xlfn.MAXIFS($C$2:C100,$B$2:B100,B101)+1)</f>
        <v>14</v>
      </c>
      <c r="D101" s="29"/>
      <c r="E101" s="15" t="s">
        <v>228</v>
      </c>
      <c r="F101" s="19"/>
      <c r="G101" s="18">
        <v>46283</v>
      </c>
      <c r="H101" s="15"/>
      <c r="I101" s="15" t="s">
        <v>18</v>
      </c>
      <c r="J101" s="17">
        <f t="shared" si="3"/>
        <v>1</v>
      </c>
      <c r="K101" s="21"/>
    </row>
    <row r="102" spans="1:11" ht="27.6" hidden="1" x14ac:dyDescent="0.25">
      <c r="A102" s="21">
        <v>100</v>
      </c>
      <c r="B102" s="15" t="s">
        <v>226</v>
      </c>
      <c r="C102" s="15">
        <f>IF(B102="","",_xlfn.MAXIFS($C$2:C101,$B$2:B101,B102)+1)</f>
        <v>1</v>
      </c>
      <c r="D102" s="29"/>
      <c r="E102" s="15" t="s">
        <v>228</v>
      </c>
      <c r="F102" s="19"/>
      <c r="G102" s="18">
        <v>46283</v>
      </c>
      <c r="H102" s="15"/>
      <c r="I102" s="15" t="s">
        <v>25</v>
      </c>
      <c r="J102" s="17">
        <f t="shared" si="3"/>
        <v>2</v>
      </c>
      <c r="K102" s="21"/>
    </row>
    <row r="103" spans="1:11" ht="27.6" hidden="1" x14ac:dyDescent="0.25">
      <c r="A103" s="21">
        <v>101</v>
      </c>
      <c r="B103" s="15" t="s">
        <v>226</v>
      </c>
      <c r="C103" s="15">
        <f>IF(B103="","",_xlfn.MAXIFS($C$2:C102,$B$2:B102,B103)+1)</f>
        <v>2</v>
      </c>
      <c r="D103" s="29"/>
      <c r="E103" s="15" t="s">
        <v>228</v>
      </c>
      <c r="F103" s="19"/>
      <c r="G103" s="18">
        <v>46283</v>
      </c>
      <c r="H103" s="15"/>
      <c r="I103" s="15" t="s">
        <v>25</v>
      </c>
      <c r="J103" s="17">
        <f t="shared" si="3"/>
        <v>2</v>
      </c>
      <c r="K103" s="21"/>
    </row>
    <row r="104" spans="1:11" ht="27.6" hidden="1" x14ac:dyDescent="0.25">
      <c r="A104" s="21">
        <v>102</v>
      </c>
      <c r="B104" s="15" t="s">
        <v>226</v>
      </c>
      <c r="C104" s="15">
        <f>IF(B104="","",_xlfn.MAXIFS($C$2:C103,$B$2:B103,B104)+1)</f>
        <v>3</v>
      </c>
      <c r="D104" s="29"/>
      <c r="E104" s="15" t="s">
        <v>228</v>
      </c>
      <c r="F104" s="19"/>
      <c r="G104" s="18">
        <v>46283</v>
      </c>
      <c r="H104" s="15"/>
      <c r="I104" s="15" t="s">
        <v>25</v>
      </c>
      <c r="J104" s="17">
        <f t="shared" si="3"/>
        <v>2</v>
      </c>
      <c r="K104" s="21"/>
    </row>
    <row r="105" spans="1:11" ht="27.6" hidden="1" x14ac:dyDescent="0.25">
      <c r="A105" s="21">
        <v>103</v>
      </c>
      <c r="B105" s="15" t="s">
        <v>226</v>
      </c>
      <c r="C105" s="15">
        <f>IF(B105="","",_xlfn.MAXIFS($C$2:C104,$B$2:B104,B105)+1)</f>
        <v>4</v>
      </c>
      <c r="D105" s="29"/>
      <c r="E105" s="15" t="s">
        <v>228</v>
      </c>
      <c r="F105" s="19"/>
      <c r="G105" s="18">
        <v>46283</v>
      </c>
      <c r="H105" s="15"/>
      <c r="I105" s="15" t="s">
        <v>25</v>
      </c>
      <c r="J105" s="17">
        <f t="shared" si="3"/>
        <v>2</v>
      </c>
      <c r="K105" s="21"/>
    </row>
    <row r="106" spans="1:11" ht="27.6" hidden="1" x14ac:dyDescent="0.25">
      <c r="A106" s="21">
        <v>104</v>
      </c>
      <c r="B106" s="15" t="s">
        <v>226</v>
      </c>
      <c r="C106" s="15">
        <f>IF(B106="","",_xlfn.MAXIFS($C$2:C105,$B$2:B105,B106)+1)</f>
        <v>5</v>
      </c>
      <c r="D106" s="29"/>
      <c r="E106" s="15" t="s">
        <v>228</v>
      </c>
      <c r="F106" s="19"/>
      <c r="G106" s="18">
        <v>46283</v>
      </c>
      <c r="H106" s="15"/>
      <c r="I106" s="15" t="s">
        <v>25</v>
      </c>
      <c r="J106" s="17">
        <f t="shared" si="3"/>
        <v>2</v>
      </c>
      <c r="K106" s="21"/>
    </row>
    <row r="107" spans="1:11" ht="27.6" hidden="1" x14ac:dyDescent="0.25">
      <c r="A107" s="21">
        <v>105</v>
      </c>
      <c r="B107" s="15" t="s">
        <v>226</v>
      </c>
      <c r="C107" s="15">
        <f>IF(B107="","",_xlfn.MAXIFS($C$2:C106,$B$2:B106,B107)+1)</f>
        <v>6</v>
      </c>
      <c r="D107" s="29"/>
      <c r="E107" s="15" t="s">
        <v>228</v>
      </c>
      <c r="F107" s="19"/>
      <c r="G107" s="18">
        <v>46283</v>
      </c>
      <c r="H107" s="15"/>
      <c r="I107" s="15" t="s">
        <v>25</v>
      </c>
      <c r="J107" s="17">
        <f t="shared" si="3"/>
        <v>2</v>
      </c>
      <c r="K107" s="21"/>
    </row>
    <row r="108" spans="1:11" ht="27.6" hidden="1" x14ac:dyDescent="0.25">
      <c r="A108" s="21">
        <v>106</v>
      </c>
      <c r="B108" s="15" t="s">
        <v>226</v>
      </c>
      <c r="C108" s="15">
        <f>IF(B108="","",_xlfn.MAXIFS($C$2:C107,$B$2:B107,B108)+1)</f>
        <v>7</v>
      </c>
      <c r="D108" s="29"/>
      <c r="E108" s="15" t="s">
        <v>228</v>
      </c>
      <c r="F108" s="19"/>
      <c r="G108" s="18">
        <v>46283</v>
      </c>
      <c r="H108" s="15"/>
      <c r="I108" s="15" t="s">
        <v>25</v>
      </c>
      <c r="J108" s="17">
        <f t="shared" si="3"/>
        <v>2</v>
      </c>
      <c r="K108" s="21"/>
    </row>
    <row r="109" spans="1:11" ht="27.6" hidden="1" x14ac:dyDescent="0.25">
      <c r="A109" s="21">
        <v>107</v>
      </c>
      <c r="B109" s="15" t="s">
        <v>226</v>
      </c>
      <c r="C109" s="15">
        <f>IF(B109="","",_xlfn.MAXIFS($C$2:C108,$B$2:B108,B109)+1)</f>
        <v>8</v>
      </c>
      <c r="D109" s="29"/>
      <c r="E109" s="15" t="s">
        <v>228</v>
      </c>
      <c r="F109" s="19"/>
      <c r="G109" s="18">
        <v>46283</v>
      </c>
      <c r="H109" s="15"/>
      <c r="I109" s="15" t="s">
        <v>25</v>
      </c>
      <c r="J109" s="17">
        <f t="shared" si="3"/>
        <v>2</v>
      </c>
      <c r="K109" s="21"/>
    </row>
    <row r="110" spans="1:11" ht="27.6" hidden="1" x14ac:dyDescent="0.25">
      <c r="A110" s="21">
        <v>108</v>
      </c>
      <c r="B110" s="15" t="s">
        <v>226</v>
      </c>
      <c r="C110" s="15">
        <f>IF(B110="","",_xlfn.MAXIFS($C$2:C109,$B$2:B109,B110)+1)</f>
        <v>9</v>
      </c>
      <c r="D110" s="29"/>
      <c r="E110" s="15" t="s">
        <v>228</v>
      </c>
      <c r="F110" s="19"/>
      <c r="G110" s="18">
        <v>46283</v>
      </c>
      <c r="H110" s="15"/>
      <c r="I110" s="15" t="s">
        <v>25</v>
      </c>
      <c r="J110" s="17">
        <f t="shared" si="3"/>
        <v>2</v>
      </c>
      <c r="K110" s="21"/>
    </row>
    <row r="111" spans="1:11" ht="27.6" hidden="1" x14ac:dyDescent="0.25">
      <c r="A111" s="21">
        <v>109</v>
      </c>
      <c r="B111" s="15" t="s">
        <v>226</v>
      </c>
      <c r="C111" s="15">
        <f>IF(B111="","",_xlfn.MAXIFS($C$2:C110,$B$2:B110,B111)+1)</f>
        <v>10</v>
      </c>
      <c r="D111" s="29"/>
      <c r="E111" s="15" t="s">
        <v>228</v>
      </c>
      <c r="F111" s="19"/>
      <c r="G111" s="18">
        <v>46283</v>
      </c>
      <c r="H111" s="15"/>
      <c r="I111" s="15" t="s">
        <v>25</v>
      </c>
      <c r="J111" s="17">
        <f t="shared" si="3"/>
        <v>2</v>
      </c>
      <c r="K111" s="21"/>
    </row>
    <row r="112" spans="1:11" hidden="1" x14ac:dyDescent="0.25">
      <c r="A112" s="21">
        <v>110</v>
      </c>
      <c r="B112" s="15" t="s">
        <v>227</v>
      </c>
      <c r="C112" s="15">
        <f>IF(B112="","",_xlfn.MAXIFS($C$2:C111,$B$2:B111,B112)+1)</f>
        <v>1</v>
      </c>
      <c r="D112" s="29"/>
      <c r="E112" s="15" t="s">
        <v>228</v>
      </c>
      <c r="F112" s="19"/>
      <c r="G112" s="18">
        <v>46283</v>
      </c>
      <c r="H112" s="15"/>
      <c r="I112" s="15" t="s">
        <v>25</v>
      </c>
      <c r="J112" s="17">
        <f t="shared" si="3"/>
        <v>2</v>
      </c>
      <c r="K112" s="21"/>
    </row>
    <row r="113" spans="1:11" hidden="1" x14ac:dyDescent="0.25">
      <c r="A113" s="21">
        <v>111</v>
      </c>
      <c r="B113" s="15" t="s">
        <v>227</v>
      </c>
      <c r="C113" s="15">
        <f>IF(B113="","",_xlfn.MAXIFS($C$2:C112,$B$2:B112,B113)+1)</f>
        <v>2</v>
      </c>
      <c r="D113" s="29"/>
      <c r="E113" s="15" t="s">
        <v>228</v>
      </c>
      <c r="F113" s="19"/>
      <c r="G113" s="18">
        <v>46283</v>
      </c>
      <c r="H113" s="15"/>
      <c r="I113" s="15" t="s">
        <v>25</v>
      </c>
      <c r="J113" s="17">
        <f t="shared" si="3"/>
        <v>2</v>
      </c>
      <c r="K113" s="21"/>
    </row>
    <row r="114" spans="1:11" hidden="1" x14ac:dyDescent="0.25">
      <c r="A114" s="21">
        <v>112</v>
      </c>
      <c r="B114" s="15" t="s">
        <v>227</v>
      </c>
      <c r="C114" s="15">
        <f>IF(B114="","",_xlfn.MAXIFS($C$2:C113,$B$2:B113,B114)+1)</f>
        <v>3</v>
      </c>
      <c r="D114" s="29"/>
      <c r="E114" s="15" t="s">
        <v>228</v>
      </c>
      <c r="F114" s="19"/>
      <c r="G114" s="18">
        <v>46283</v>
      </c>
      <c r="H114" s="15"/>
      <c r="I114" s="15" t="s">
        <v>25</v>
      </c>
      <c r="J114" s="17">
        <f t="shared" si="3"/>
        <v>2</v>
      </c>
      <c r="K114" s="21"/>
    </row>
    <row r="115" spans="1:11" hidden="1" x14ac:dyDescent="0.25">
      <c r="A115" s="21">
        <v>113</v>
      </c>
      <c r="B115" s="15" t="s">
        <v>227</v>
      </c>
      <c r="C115" s="15">
        <f>IF(B115="","",_xlfn.MAXIFS($C$2:C114,$B$2:B114,B115)+1)</f>
        <v>4</v>
      </c>
      <c r="D115" s="29"/>
      <c r="E115" s="15" t="s">
        <v>228</v>
      </c>
      <c r="F115" s="19"/>
      <c r="G115" s="18">
        <v>46283</v>
      </c>
      <c r="H115" s="15"/>
      <c r="I115" s="15" t="s">
        <v>18</v>
      </c>
      <c r="J115" s="17">
        <f t="shared" si="3"/>
        <v>1</v>
      </c>
      <c r="K115" s="21"/>
    </row>
    <row r="116" spans="1:11" hidden="1" x14ac:dyDescent="0.25">
      <c r="A116" s="21">
        <v>114</v>
      </c>
      <c r="B116" s="15" t="s">
        <v>227</v>
      </c>
      <c r="C116" s="15">
        <f>IF(B116="","",_xlfn.MAXIFS($C$2:C115,$B$2:B115,B116)+1)</f>
        <v>5</v>
      </c>
      <c r="D116" s="29"/>
      <c r="E116" s="15" t="s">
        <v>228</v>
      </c>
      <c r="F116" s="19"/>
      <c r="G116" s="18">
        <v>46283</v>
      </c>
      <c r="H116" s="15"/>
      <c r="I116" s="15" t="s">
        <v>18</v>
      </c>
      <c r="J116" s="17">
        <f t="shared" si="3"/>
        <v>1</v>
      </c>
      <c r="K116" s="21"/>
    </row>
    <row r="117" spans="1:11" hidden="1" x14ac:dyDescent="0.25">
      <c r="A117" s="21">
        <v>115</v>
      </c>
      <c r="B117" s="15" t="s">
        <v>227</v>
      </c>
      <c r="C117" s="15">
        <f>IF(B117="","",_xlfn.MAXIFS($C$2:C116,$B$2:B116,B117)+1)</f>
        <v>6</v>
      </c>
      <c r="D117" s="29"/>
      <c r="E117" s="15" t="s">
        <v>228</v>
      </c>
      <c r="F117" s="19"/>
      <c r="G117" s="18">
        <v>46283</v>
      </c>
      <c r="H117" s="15"/>
      <c r="I117" s="15" t="s">
        <v>18</v>
      </c>
      <c r="J117" s="17">
        <f t="shared" si="3"/>
        <v>1</v>
      </c>
      <c r="K117" s="21"/>
    </row>
    <row r="118" spans="1:11" hidden="1" x14ac:dyDescent="0.25">
      <c r="A118" s="21">
        <v>116</v>
      </c>
      <c r="B118" s="15" t="s">
        <v>227</v>
      </c>
      <c r="C118" s="15">
        <f>IF(B118="","",_xlfn.MAXIFS($C$2:C117,$B$2:B117,B118)+1)</f>
        <v>7</v>
      </c>
      <c r="D118" s="29"/>
      <c r="E118" s="15" t="s">
        <v>228</v>
      </c>
      <c r="F118" s="19"/>
      <c r="G118" s="18">
        <v>46283</v>
      </c>
      <c r="H118" s="15"/>
      <c r="I118" s="15" t="s">
        <v>26</v>
      </c>
      <c r="J118" s="17">
        <f t="shared" si="3"/>
        <v>0</v>
      </c>
      <c r="K118" s="21"/>
    </row>
    <row r="119" spans="1:11" hidden="1" x14ac:dyDescent="0.25">
      <c r="A119" s="21">
        <v>117</v>
      </c>
      <c r="B119" s="15" t="s">
        <v>227</v>
      </c>
      <c r="C119" s="15">
        <f>IF(B119="","",_xlfn.MAXIFS($C$2:C118,$B$2:B118,B119)+1)</f>
        <v>8</v>
      </c>
      <c r="D119" s="29"/>
      <c r="E119" s="15" t="s">
        <v>228</v>
      </c>
      <c r="F119" s="19"/>
      <c r="G119" s="18">
        <v>46283</v>
      </c>
      <c r="H119" s="15"/>
      <c r="I119" s="15" t="s">
        <v>26</v>
      </c>
      <c r="J119" s="17">
        <f t="shared" si="3"/>
        <v>0</v>
      </c>
      <c r="K119" s="21"/>
    </row>
    <row r="120" spans="1:11" hidden="1" x14ac:dyDescent="0.25">
      <c r="A120" s="21">
        <v>118</v>
      </c>
      <c r="B120" s="15" t="s">
        <v>227</v>
      </c>
      <c r="C120" s="15">
        <f>IF(B120="","",_xlfn.MAXIFS($C$2:C119,$B$2:B119,B120)+1)</f>
        <v>9</v>
      </c>
      <c r="D120" s="29"/>
      <c r="E120" s="15" t="s">
        <v>228</v>
      </c>
      <c r="F120" s="19"/>
      <c r="G120" s="18">
        <v>46283</v>
      </c>
      <c r="H120" s="15"/>
      <c r="I120" s="15" t="s">
        <v>18</v>
      </c>
      <c r="J120" s="17">
        <f t="shared" si="3"/>
        <v>1</v>
      </c>
      <c r="K120" s="21"/>
    </row>
    <row r="121" spans="1:11" hidden="1" x14ac:dyDescent="0.25">
      <c r="A121" s="21">
        <v>119</v>
      </c>
      <c r="B121" s="15" t="s">
        <v>227</v>
      </c>
      <c r="C121" s="15">
        <f>IF(B121="","",_xlfn.MAXIFS($C$2:C120,$B$2:B120,B121)+1)</f>
        <v>10</v>
      </c>
      <c r="D121" s="29"/>
      <c r="E121" s="15" t="s">
        <v>228</v>
      </c>
      <c r="F121" s="19"/>
      <c r="G121" s="18">
        <v>46283</v>
      </c>
      <c r="H121" s="15"/>
      <c r="I121" s="15" t="s">
        <v>18</v>
      </c>
      <c r="J121" s="17">
        <f t="shared" si="3"/>
        <v>1</v>
      </c>
      <c r="K121" s="21"/>
    </row>
    <row r="122" spans="1:11" hidden="1" x14ac:dyDescent="0.25">
      <c r="A122" s="21">
        <v>120</v>
      </c>
      <c r="B122" s="15" t="s">
        <v>227</v>
      </c>
      <c r="C122" s="15">
        <f>IF(B122="","",_xlfn.MAXIFS($C$2:C121,$B$2:B121,B122)+1)</f>
        <v>11</v>
      </c>
      <c r="D122" s="29"/>
      <c r="E122" s="15" t="s">
        <v>228</v>
      </c>
      <c r="F122" s="19"/>
      <c r="G122" s="18">
        <v>46283</v>
      </c>
      <c r="H122" s="15"/>
      <c r="I122" s="15" t="s">
        <v>18</v>
      </c>
      <c r="J122" s="17">
        <f t="shared" si="3"/>
        <v>1</v>
      </c>
      <c r="K122" s="21"/>
    </row>
  </sheetData>
  <autoFilter ref="A2:K122" xr:uid="{00000000-0009-0000-0000-000000000000}">
    <filterColumn colId="1">
      <filters>
        <filter val="Sistemas Pressurizados*"/>
      </filters>
    </filterColumn>
  </autoFilter>
  <dataConsolidate/>
  <mergeCells count="2">
    <mergeCell ref="A1:K1"/>
    <mergeCell ref="I2:J2"/>
  </mergeCells>
  <conditionalFormatting sqref="J3:J122">
    <cfRule type="iconSet" priority="14">
      <iconSet showValue="0">
        <cfvo type="percent" val="0"/>
        <cfvo type="num" val="1"/>
        <cfvo type="num" val="2"/>
      </iconSet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9A1E-7BC8-4A95-B9C7-A7533D891950}">
  <dimension ref="B2:J12"/>
  <sheetViews>
    <sheetView zoomScale="145" zoomScaleNormal="145" workbookViewId="0">
      <selection activeCell="J3" sqref="J3"/>
    </sheetView>
  </sheetViews>
  <sheetFormatPr defaultRowHeight="14.4" x14ac:dyDescent="0.25"/>
  <cols>
    <col min="2" max="2" width="28.33203125" bestFit="1" customWidth="1"/>
    <col min="3" max="3" width="11.109375" customWidth="1"/>
    <col min="4" max="4" width="14.6640625" customWidth="1"/>
    <col min="5" max="5" width="12.6640625" customWidth="1"/>
    <col min="6" max="6" width="13.88671875" customWidth="1"/>
    <col min="7" max="7" width="12.77734375" bestFit="1" customWidth="1"/>
    <col min="8" max="8" width="13.21875" bestFit="1" customWidth="1"/>
    <col min="10" max="10" width="21.21875" bestFit="1" customWidth="1"/>
  </cols>
  <sheetData>
    <row r="2" spans="2:10" x14ac:dyDescent="0.25">
      <c r="B2" s="3" t="s">
        <v>236</v>
      </c>
      <c r="C2" s="3" t="s">
        <v>237</v>
      </c>
      <c r="D2" s="3" t="s">
        <v>25</v>
      </c>
      <c r="E2" s="3" t="s">
        <v>18</v>
      </c>
      <c r="F2" s="3" t="s">
        <v>238</v>
      </c>
      <c r="G2" s="42" t="s">
        <v>239</v>
      </c>
      <c r="H2" s="45" t="s">
        <v>254</v>
      </c>
      <c r="J2" s="3" t="s">
        <v>255</v>
      </c>
    </row>
    <row r="3" spans="2:10" x14ac:dyDescent="0.25">
      <c r="B3" s="43" t="s">
        <v>33</v>
      </c>
      <c r="C3" s="41">
        <f>COUNTIF('PLANILHA FINAL'!$B:$B,B3)</f>
        <v>10</v>
      </c>
      <c r="D3" s="44">
        <f>IF(C3=0,0,COUNTIFS('PLANILHA FINAL'!$B:$B,B3&amp;"*",'PLANILHA FINAL'!$I:$I,"Concluído")/C3)</f>
        <v>0.6</v>
      </c>
      <c r="E3" s="44">
        <f>IF(C3=0,0,COUNTIFS('PLANILHA FINAL'!$B:$B,B3&amp;"*",'PLANILHA FINAL'!$I:$I,"Andamento")/C3)</f>
        <v>0.2</v>
      </c>
      <c r="F3" s="44">
        <f>IF(C3=0,0,COUNTIFS('PLANILHA FINAL'!$B:$B,B3&amp;"*",'PLANILHA FINAL'!$I:$I,"Atrasado")/C3)</f>
        <v>0.2</v>
      </c>
      <c r="G3" s="35">
        <f t="shared" ref="G3:G12" si="0">C3</f>
        <v>10</v>
      </c>
      <c r="H3" s="44" t="str">
        <f>IF(D2=0,"Sem conclusão","Com conclusão")</f>
        <v>Com conclusão</v>
      </c>
      <c r="J3" s="3">
        <f>COUNTIF(Tabela2[Conclusão],"Sem conclusão")</f>
        <v>2</v>
      </c>
    </row>
    <row r="4" spans="2:10" x14ac:dyDescent="0.25">
      <c r="B4" s="43" t="s">
        <v>226</v>
      </c>
      <c r="C4" s="41">
        <f>COUNTIF('PLANILHA FINAL'!$B:$B,B4)</f>
        <v>10</v>
      </c>
      <c r="D4" s="44">
        <f>IF(C4=0,0,COUNTIFS('PLANILHA FINAL'!$B:$B,B4&amp;"*",'PLANILHA FINAL'!$I:$I,"Concluído")/C4)</f>
        <v>1</v>
      </c>
      <c r="E4" s="44">
        <f>IF(C4=0,0,COUNTIFS('PLANILHA FINAL'!$B:$B,B4&amp;"*",'PLANILHA FINAL'!$I:$I,"Andamento")/C4)</f>
        <v>0</v>
      </c>
      <c r="F4" s="44">
        <f>IF(C4=0,0,COUNTIFS('PLANILHA FINAL'!$B:$B,B4&amp;"*",'PLANILHA FINAL'!$I:$I,"Atrasado")/C4)</f>
        <v>0</v>
      </c>
      <c r="G4" s="35">
        <f t="shared" si="0"/>
        <v>10</v>
      </c>
      <c r="H4" s="44" t="str">
        <f t="shared" ref="H4:H12" si="1">IF(D4=0,"Sem conclusão","Com conclusão")</f>
        <v>Com conclusão</v>
      </c>
      <c r="J4" s="47">
        <f>COUNTIF(Tabela2[Conclusão],"Sem conclusão")/COUNTA(Tabela2[Risco crítico])</f>
        <v>0.2</v>
      </c>
    </row>
    <row r="5" spans="2:10" x14ac:dyDescent="0.25">
      <c r="B5" s="43" t="s">
        <v>242</v>
      </c>
      <c r="C5" s="41">
        <f>COUNTIF('PLANILHA FINAL'!$B:$B,B5)</f>
        <v>11</v>
      </c>
      <c r="D5" s="44">
        <f>IF(C5=0,0,COUNTIFS('PLANILHA FINAL'!$B:$B,B5&amp;"*",'PLANILHA FINAL'!$I:$I,"Concluído")/C5)</f>
        <v>0.27272727272727271</v>
      </c>
      <c r="E5" s="44">
        <f>IF(C5=0,0,COUNTIFS('PLANILHA FINAL'!$B:$B,B5&amp;"*",'PLANILHA FINAL'!$I:$I,"Andamento")/C5)</f>
        <v>0.63636363636363635</v>
      </c>
      <c r="F5" s="44">
        <f>IF(C5=0,0,COUNTIFS('PLANILHA FINAL'!$B:$B,B5&amp;"*",'PLANILHA FINAL'!$I:$I,"Atrasado")/C5)</f>
        <v>9.0909090909090912E-2</v>
      </c>
      <c r="G5" s="35">
        <f t="shared" si="0"/>
        <v>11</v>
      </c>
      <c r="H5" s="44" t="str">
        <f t="shared" si="1"/>
        <v>Com conclusão</v>
      </c>
    </row>
    <row r="6" spans="2:10" x14ac:dyDescent="0.25">
      <c r="B6" s="43" t="s">
        <v>244</v>
      </c>
      <c r="C6" s="41">
        <f>COUNTIF('PLANILHA FINAL'!$B:$B,B6)</f>
        <v>11</v>
      </c>
      <c r="D6" s="44">
        <f>IF(C6=0,0,COUNTIFS('PLANILHA FINAL'!$B:$B,B6&amp;"*",'PLANILHA FINAL'!$I:$I,"Concluído")/C6)</f>
        <v>0.63636363636363635</v>
      </c>
      <c r="E6" s="44">
        <f>IF(C6=0,0,COUNTIFS('PLANILHA FINAL'!$B:$B,B6&amp;"*",'PLANILHA FINAL'!$I:$I,"Andamento")/C6)</f>
        <v>0.18181818181818182</v>
      </c>
      <c r="F6" s="44">
        <f>IF(C6=0,0,COUNTIFS('PLANILHA FINAL'!$B:$B,B6&amp;"*",'PLANILHA FINAL'!$I:$I,"Atrasado")/C6)</f>
        <v>0.18181818181818182</v>
      </c>
      <c r="G6" s="35">
        <f t="shared" si="0"/>
        <v>11</v>
      </c>
      <c r="H6" s="44" t="str">
        <f t="shared" si="1"/>
        <v>Com conclusão</v>
      </c>
      <c r="J6" s="3" t="s">
        <v>256</v>
      </c>
    </row>
    <row r="7" spans="2:10" x14ac:dyDescent="0.25">
      <c r="B7" s="43" t="s">
        <v>227</v>
      </c>
      <c r="C7" s="41">
        <f>COUNTIF('PLANILHA FINAL'!$B:$B,B7)</f>
        <v>11</v>
      </c>
      <c r="D7" s="44">
        <f>IF(C7=0,0,COUNTIFS('PLANILHA FINAL'!$B:$B,B7&amp;"*",'PLANILHA FINAL'!$I:$I,"Concluído")/C7)</f>
        <v>0.27272727272727271</v>
      </c>
      <c r="E7" s="44">
        <f>IF(C7=0,0,COUNTIFS('PLANILHA FINAL'!$B:$B,B7&amp;"*",'PLANILHA FINAL'!$I:$I,"Andamento")/C7)</f>
        <v>0.54545454545454541</v>
      </c>
      <c r="F7" s="44">
        <f>IF(C7=0,0,COUNTIFS('PLANILHA FINAL'!$B:$B,B7&amp;"*",'PLANILHA FINAL'!$I:$I,"Atrasado")/C7)</f>
        <v>0.18181818181818182</v>
      </c>
      <c r="G7" s="35">
        <f t="shared" si="0"/>
        <v>11</v>
      </c>
      <c r="H7" s="44" t="str">
        <f t="shared" si="1"/>
        <v>Com conclusão</v>
      </c>
      <c r="J7" s="3">
        <f>COUNTIF(Tabela2[Conclusão],"Com conclusão")</f>
        <v>8</v>
      </c>
    </row>
    <row r="8" spans="2:10" x14ac:dyDescent="0.25">
      <c r="B8" s="43" t="s">
        <v>240</v>
      </c>
      <c r="C8" s="41">
        <f>COUNTIF('PLANILHA FINAL'!$B:$B,B8)</f>
        <v>13</v>
      </c>
      <c r="D8" s="44">
        <f>IF(C8=0,0,COUNTIFS('PLANILHA FINAL'!$B:$B,B8&amp;"*",'PLANILHA FINAL'!$I:$I,"Concluído")/C8)</f>
        <v>0.38461538461538464</v>
      </c>
      <c r="E8" s="44">
        <f>IF(C8=0,0,COUNTIFS('PLANILHA FINAL'!$B:$B,B8&amp;"*",'PLANILHA FINAL'!$I:$I,"Andamento")/C8)</f>
        <v>0.38461538461538464</v>
      </c>
      <c r="F8" s="44">
        <f>IF(C8=0,0,COUNTIFS('PLANILHA FINAL'!$B:$B,B8&amp;"*",'PLANILHA FINAL'!$I:$I,"Atrasado")/C8)</f>
        <v>0.23076923076923078</v>
      </c>
      <c r="G8" s="35">
        <f t="shared" si="0"/>
        <v>13</v>
      </c>
      <c r="H8" s="44" t="str">
        <f t="shared" si="1"/>
        <v>Com conclusão</v>
      </c>
      <c r="J8" s="46">
        <f>COUNTIF(Tabela2[Conclusão],"Com conclusão")/COUNTA(Tabela2[Risco crítico])</f>
        <v>0.8</v>
      </c>
    </row>
    <row r="9" spans="2:10" x14ac:dyDescent="0.25">
      <c r="B9" s="43" t="s">
        <v>243</v>
      </c>
      <c r="C9" s="41">
        <f>COUNTIF('PLANILHA FINAL'!$B:$B,B9)</f>
        <v>13</v>
      </c>
      <c r="D9" s="44">
        <f>IF(C9=0,0,COUNTIFS('PLANILHA FINAL'!$B:$B,B9&amp;"*",'PLANILHA FINAL'!$I:$I,"Concluído")/C9)</f>
        <v>0</v>
      </c>
      <c r="E9" s="44">
        <f>IF(C9=0,0,COUNTIFS('PLANILHA FINAL'!$B:$B,B9&amp;"*",'PLANILHA FINAL'!$I:$I,"Andamento")/C9)</f>
        <v>7.6923076923076927E-2</v>
      </c>
      <c r="F9" s="44">
        <f>IF(C9=0,0,COUNTIFS('PLANILHA FINAL'!$B:$B,B9&amp;"*",'PLANILHA FINAL'!$I:$I,"Atrasado")/C9)</f>
        <v>0.92307692307692313</v>
      </c>
      <c r="G9" s="35">
        <f t="shared" si="0"/>
        <v>13</v>
      </c>
      <c r="H9" s="44" t="str">
        <f t="shared" si="1"/>
        <v>Sem conclusão</v>
      </c>
    </row>
    <row r="10" spans="2:10" x14ac:dyDescent="0.25">
      <c r="B10" s="43" t="s">
        <v>225</v>
      </c>
      <c r="C10" s="41">
        <f>COUNTIF('PLANILHA FINAL'!$B:$B,B10)</f>
        <v>13</v>
      </c>
      <c r="D10" s="44">
        <f>IF(C10=0,0,COUNTIFS('PLANILHA FINAL'!$B:$B,B10&amp;"*",'PLANILHA FINAL'!$I:$I,"Concluído")/C10)</f>
        <v>0</v>
      </c>
      <c r="E10" s="44">
        <f>IF(C10=0,0,COUNTIFS('PLANILHA FINAL'!$B:$B,B10&amp;"*",'PLANILHA FINAL'!$I:$I,"Andamento")/C10)</f>
        <v>1</v>
      </c>
      <c r="F10" s="44">
        <f>IF(C10=0,0,COUNTIFS('PLANILHA FINAL'!$B:$B,B10&amp;"*",'PLANILHA FINAL'!$I:$I,"Atrasado")/C10)</f>
        <v>0</v>
      </c>
      <c r="G10" s="35">
        <f t="shared" si="0"/>
        <v>13</v>
      </c>
      <c r="H10" s="44" t="str">
        <f t="shared" si="1"/>
        <v>Sem conclusão</v>
      </c>
    </row>
    <row r="11" spans="2:10" x14ac:dyDescent="0.25">
      <c r="B11" s="43" t="s">
        <v>241</v>
      </c>
      <c r="C11" s="41">
        <f>COUNTIF('PLANILHA FINAL'!$B:$B,B11)</f>
        <v>14</v>
      </c>
      <c r="D11" s="44">
        <f>IF(C11=0,0,COUNTIFS('PLANILHA FINAL'!$B:$B,B11&amp;"*",'PLANILHA FINAL'!$I:$I,"Concluído")/C11)</f>
        <v>0.5</v>
      </c>
      <c r="E11" s="44">
        <f>IF(C11=0,0,COUNTIFS('PLANILHA FINAL'!$B:$B,B11&amp;"*",'PLANILHA FINAL'!$I:$I,"Andamento")/C11)</f>
        <v>0.35714285714285715</v>
      </c>
      <c r="F11" s="44">
        <f>IF(C11=0,0,COUNTIFS('PLANILHA FINAL'!$B:$B,B11&amp;"*",'PLANILHA FINAL'!$I:$I,"Atrasado")/C11)</f>
        <v>0.14285714285714285</v>
      </c>
      <c r="G11" s="35">
        <f t="shared" si="0"/>
        <v>14</v>
      </c>
      <c r="H11" s="44" t="str">
        <f t="shared" si="1"/>
        <v>Com conclusão</v>
      </c>
    </row>
    <row r="12" spans="2:10" x14ac:dyDescent="0.25">
      <c r="B12" s="43" t="s">
        <v>46</v>
      </c>
      <c r="C12" s="41">
        <f>COUNTIF('PLANILHA FINAL'!$B:$B,B12)</f>
        <v>14</v>
      </c>
      <c r="D12" s="44">
        <f>IF(C12=0,0,COUNTIFS('PLANILHA FINAL'!$B:$B,B12&amp;"*",'PLANILHA FINAL'!$I:$I,"Concluído")/C12)</f>
        <v>0.21428571428571427</v>
      </c>
      <c r="E12" s="44">
        <f>IF(C12=0,0,COUNTIFS('PLANILHA FINAL'!$B:$B,B12&amp;"*",'PLANILHA FINAL'!$I:$I,"Andamento")/C12)</f>
        <v>0.2857142857142857</v>
      </c>
      <c r="F12" s="44">
        <f>IF(C12=0,0,COUNTIFS('PLANILHA FINAL'!$B:$B,B12&amp;"*",'PLANILHA FINAL'!$I:$I,"Atrasado")/C12)</f>
        <v>0.5</v>
      </c>
      <c r="G12" s="35">
        <f t="shared" si="0"/>
        <v>14</v>
      </c>
      <c r="H12" s="44" t="str">
        <f t="shared" si="1"/>
        <v>Com conclusão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CA5E-E573-4698-A28A-2E4E342B0A25}">
  <dimension ref="D4:F16"/>
  <sheetViews>
    <sheetView workbookViewId="0">
      <selection activeCell="F20" sqref="F20"/>
    </sheetView>
  </sheetViews>
  <sheetFormatPr defaultRowHeight="14.4" x14ac:dyDescent="0.25"/>
  <cols>
    <col min="4" max="5" width="21" customWidth="1"/>
  </cols>
  <sheetData>
    <row r="4" spans="4:6" x14ac:dyDescent="0.25">
      <c r="D4" s="36" t="s">
        <v>245</v>
      </c>
      <c r="E4" s="37" t="s">
        <v>246</v>
      </c>
    </row>
    <row r="5" spans="4:6" x14ac:dyDescent="0.25">
      <c r="D5" s="38" t="s">
        <v>247</v>
      </c>
      <c r="E5" s="39">
        <f>COUNTA('PLANILHA FINAL'!$A:$A)-2</f>
        <v>120</v>
      </c>
      <c r="F5" s="39"/>
    </row>
    <row r="6" spans="4:6" x14ac:dyDescent="0.25">
      <c r="D6" s="38" t="s">
        <v>248</v>
      </c>
      <c r="E6" s="39">
        <f>COUNTIF('PLANILHA FINAL'!$I:$I,"Concluído")</f>
        <v>44</v>
      </c>
    </row>
    <row r="7" spans="4:6" x14ac:dyDescent="0.25">
      <c r="D7" s="38" t="s">
        <v>249</v>
      </c>
      <c r="E7" s="39">
        <f>COUNTIF('PLANILHA FINAL'!$I:$I,"Andamento")</f>
        <v>45</v>
      </c>
    </row>
    <row r="8" spans="4:6" x14ac:dyDescent="0.25">
      <c r="D8" s="38" t="s">
        <v>250</v>
      </c>
      <c r="E8" s="39">
        <f>COUNTIF('PLANILHA FINAL'!$I:$I,"Atrasado")</f>
        <v>31</v>
      </c>
    </row>
    <row r="9" spans="4:6" x14ac:dyDescent="0.25">
      <c r="D9" s="38" t="s">
        <v>251</v>
      </c>
      <c r="E9" s="40">
        <f>COUNTIF('PLANILHA FINAL'!$I:$I,"Concluído")/(COUNTA('PLANILHA FINAL'!$A:$A)-2)</f>
        <v>0.36666666666666664</v>
      </c>
    </row>
    <row r="10" spans="4:6" x14ac:dyDescent="0.25">
      <c r="D10" s="38" t="s">
        <v>252</v>
      </c>
      <c r="E10" s="40">
        <f>COUNTIF('PLANILHA FINAL'!$I:$I,"Atrasado")/(COUNTA('PLANILHA FINAL'!$A:$A)-2)</f>
        <v>0.25833333333333336</v>
      </c>
    </row>
    <row r="11" spans="4:6" x14ac:dyDescent="0.25">
      <c r="D11" s="38" t="s">
        <v>253</v>
      </c>
      <c r="E11" s="40">
        <f>COUNTIF('PLANILHA FINAL'!$I:$I,"Andamento")/(COUNTA('PLANILHA FINAL'!$A:$A)-2)</f>
        <v>0.375</v>
      </c>
    </row>
    <row r="16" spans="4:6" x14ac:dyDescent="0.25">
      <c r="D16" s="48">
        <f ca="1">TODAY()</f>
        <v>46284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BF2A-F97F-4E37-B37E-A36C27CB4231}">
  <dimension ref="A1"/>
  <sheetViews>
    <sheetView showGridLines="0" tabSelected="1" view="pageBreakPreview" zoomScaleNormal="100" zoomScaleSheetLayoutView="100" workbookViewId="0">
      <selection activeCell="V17" sqref="V17"/>
    </sheetView>
  </sheetViews>
  <sheetFormatPr defaultRowHeight="14.4" x14ac:dyDescent="0.25"/>
  <sheetData/>
  <pageMargins left="0.511811024" right="0.511811024" top="0.78740157499999996" bottom="0.78740157499999996" header="0.31496062000000002" footer="0.31496062000000002"/>
  <pageSetup paperSize="9" scale="4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"/>
  <sheetViews>
    <sheetView showGridLines="0" zoomScale="80" zoomScaleNormal="80" workbookViewId="0">
      <selection activeCell="H7" sqref="H7"/>
    </sheetView>
  </sheetViews>
  <sheetFormatPr defaultColWidth="9" defaultRowHeight="14.4" x14ac:dyDescent="0.25"/>
  <cols>
    <col min="1" max="1" width="8.21875" customWidth="1"/>
    <col min="2" max="2" width="19.88671875" customWidth="1"/>
    <col min="3" max="3" width="22" customWidth="1"/>
    <col min="4" max="4" width="26.88671875" customWidth="1"/>
    <col min="5" max="5" width="81.109375" style="4" customWidth="1"/>
    <col min="6" max="6" width="25.44140625" customWidth="1"/>
    <col min="7" max="7" width="17.44140625" customWidth="1"/>
    <col min="8" max="8" width="19" customWidth="1"/>
    <col min="9" max="9" width="22.88671875" customWidth="1"/>
    <col min="10" max="10" width="18.44140625" customWidth="1"/>
    <col min="11" max="11" width="7" customWidth="1"/>
    <col min="12" max="12" width="33.109375" customWidth="1"/>
    <col min="13" max="13" width="32.44140625" customWidth="1"/>
  </cols>
  <sheetData>
    <row r="1" spans="1:13" s="1" customFormat="1" ht="46.5" customHeight="1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s="2" customFormat="1" ht="27.6" x14ac:dyDescent="0.25">
      <c r="A2" s="11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3" t="s">
        <v>6</v>
      </c>
      <c r="G2" s="14" t="s">
        <v>7</v>
      </c>
      <c r="H2" s="14" t="s">
        <v>8</v>
      </c>
      <c r="I2" s="12" t="s">
        <v>9</v>
      </c>
      <c r="J2" s="57" t="s">
        <v>10</v>
      </c>
      <c r="K2" s="58"/>
      <c r="L2" s="12" t="s">
        <v>11</v>
      </c>
      <c r="M2" s="11" t="s">
        <v>12</v>
      </c>
    </row>
    <row r="3" spans="1:13" ht="27.6" x14ac:dyDescent="0.25">
      <c r="A3" s="15">
        <v>1</v>
      </c>
      <c r="B3" s="27" t="s">
        <v>13</v>
      </c>
      <c r="C3" s="15">
        <v>6</v>
      </c>
      <c r="D3" s="15" t="s">
        <v>14</v>
      </c>
      <c r="E3" s="16" t="s">
        <v>15</v>
      </c>
      <c r="F3" s="15" t="s">
        <v>16</v>
      </c>
      <c r="G3" s="15"/>
      <c r="H3" s="15"/>
      <c r="I3" s="15" t="s">
        <v>17</v>
      </c>
      <c r="J3" s="15" t="s">
        <v>18</v>
      </c>
      <c r="K3" s="17">
        <f t="shared" ref="K3:K17" si="0">IF(J3="Concluído",2,IF(J3="Andamento",1,IF(J3="Atrasado",0,"")))</f>
        <v>1</v>
      </c>
      <c r="L3" s="15" t="s">
        <v>19</v>
      </c>
      <c r="M3" s="15" t="s">
        <v>20</v>
      </c>
    </row>
    <row r="4" spans="1:13" ht="41.4" x14ac:dyDescent="0.25">
      <c r="A4" s="15">
        <v>2</v>
      </c>
      <c r="B4" s="27" t="s">
        <v>13</v>
      </c>
      <c r="C4" s="15">
        <v>10</v>
      </c>
      <c r="D4" s="15" t="s">
        <v>14</v>
      </c>
      <c r="E4" s="16" t="s">
        <v>24</v>
      </c>
      <c r="F4" s="15"/>
      <c r="G4" s="15"/>
      <c r="H4" s="15"/>
      <c r="I4" s="15"/>
      <c r="J4" s="15" t="s">
        <v>25</v>
      </c>
      <c r="K4" s="17">
        <f t="shared" si="0"/>
        <v>2</v>
      </c>
      <c r="L4" s="15"/>
      <c r="M4" s="15"/>
    </row>
    <row r="5" spans="1:13" ht="27.6" x14ac:dyDescent="0.25">
      <c r="A5" s="15">
        <v>3</v>
      </c>
      <c r="B5" s="27" t="s">
        <v>13</v>
      </c>
      <c r="C5" s="15">
        <v>10</v>
      </c>
      <c r="D5" s="15" t="s">
        <v>14</v>
      </c>
      <c r="E5" s="16" t="s">
        <v>27</v>
      </c>
      <c r="F5" s="15"/>
      <c r="G5" s="15"/>
      <c r="H5" s="15"/>
      <c r="I5" s="15"/>
      <c r="J5" s="15" t="s">
        <v>26</v>
      </c>
      <c r="K5" s="17">
        <f t="shared" si="0"/>
        <v>0</v>
      </c>
      <c r="L5" s="15"/>
      <c r="M5" s="15"/>
    </row>
    <row r="6" spans="1:13" ht="27.6" x14ac:dyDescent="0.25">
      <c r="A6" s="15">
        <v>4</v>
      </c>
      <c r="B6" s="27" t="s">
        <v>13</v>
      </c>
      <c r="C6" s="15">
        <v>29</v>
      </c>
      <c r="D6" s="15" t="s">
        <v>21</v>
      </c>
      <c r="E6" s="16" t="s">
        <v>30</v>
      </c>
      <c r="F6" s="15"/>
      <c r="G6" s="15"/>
      <c r="H6" s="15"/>
      <c r="I6" s="15"/>
      <c r="J6" s="15"/>
      <c r="K6" s="17" t="str">
        <f t="shared" si="0"/>
        <v/>
      </c>
      <c r="L6" s="15"/>
      <c r="M6" s="15"/>
    </row>
    <row r="7" spans="1:13" ht="41.4" x14ac:dyDescent="0.25">
      <c r="A7" s="15">
        <v>5</v>
      </c>
      <c r="B7" s="27" t="s">
        <v>13</v>
      </c>
      <c r="C7" s="15">
        <v>33</v>
      </c>
      <c r="D7" s="15" t="s">
        <v>14</v>
      </c>
      <c r="E7" s="16" t="s">
        <v>32</v>
      </c>
      <c r="F7" s="15"/>
      <c r="G7" s="15"/>
      <c r="H7" s="15"/>
      <c r="I7" s="15"/>
      <c r="J7" s="15"/>
      <c r="K7" s="17" t="str">
        <f t="shared" si="0"/>
        <v/>
      </c>
      <c r="L7" s="15"/>
      <c r="M7" s="15"/>
    </row>
    <row r="8" spans="1:13" ht="27.6" x14ac:dyDescent="0.25">
      <c r="A8" s="15">
        <v>6</v>
      </c>
      <c r="B8" s="27" t="s">
        <v>13</v>
      </c>
      <c r="C8" s="15">
        <v>40</v>
      </c>
      <c r="D8" s="15" t="s">
        <v>14</v>
      </c>
      <c r="E8" s="16" t="s">
        <v>34</v>
      </c>
      <c r="F8" s="15"/>
      <c r="G8" s="15"/>
      <c r="H8" s="15"/>
      <c r="I8" s="15"/>
      <c r="J8" s="15"/>
      <c r="K8" s="17" t="str">
        <f t="shared" si="0"/>
        <v/>
      </c>
      <c r="L8" s="15"/>
      <c r="M8" s="15"/>
    </row>
    <row r="9" spans="1:13" ht="39.9" customHeight="1" x14ac:dyDescent="0.25">
      <c r="A9" s="15">
        <v>7</v>
      </c>
      <c r="B9" s="15" t="s">
        <v>33</v>
      </c>
      <c r="C9" s="15">
        <v>5</v>
      </c>
      <c r="D9" s="15" t="s">
        <v>14</v>
      </c>
      <c r="E9" s="16" t="s">
        <v>36</v>
      </c>
      <c r="F9" s="15" t="s">
        <v>37</v>
      </c>
      <c r="G9" s="18">
        <v>46568</v>
      </c>
      <c r="H9" s="18">
        <v>46751</v>
      </c>
      <c r="I9" s="15" t="s">
        <v>38</v>
      </c>
      <c r="J9" s="15" t="s">
        <v>18</v>
      </c>
      <c r="K9" s="17">
        <f t="shared" si="0"/>
        <v>1</v>
      </c>
      <c r="L9" s="15"/>
      <c r="M9" s="15"/>
    </row>
    <row r="10" spans="1:13" ht="41.4" x14ac:dyDescent="0.25">
      <c r="A10" s="15">
        <v>8</v>
      </c>
      <c r="B10" s="15" t="s">
        <v>33</v>
      </c>
      <c r="C10" s="15">
        <v>7</v>
      </c>
      <c r="D10" s="15" t="s">
        <v>21</v>
      </c>
      <c r="E10" s="16" t="s">
        <v>39</v>
      </c>
      <c r="F10" s="15" t="s">
        <v>40</v>
      </c>
      <c r="G10" s="18">
        <v>46418</v>
      </c>
      <c r="H10" s="18">
        <v>46568</v>
      </c>
      <c r="I10" s="15" t="s">
        <v>41</v>
      </c>
      <c r="J10" s="15" t="s">
        <v>18</v>
      </c>
      <c r="K10" s="17">
        <f t="shared" si="0"/>
        <v>1</v>
      </c>
      <c r="L10" s="15" t="s">
        <v>19</v>
      </c>
      <c r="M10" s="15" t="s">
        <v>42</v>
      </c>
    </row>
    <row r="11" spans="1:13" ht="27.6" x14ac:dyDescent="0.25">
      <c r="A11" s="15">
        <v>9</v>
      </c>
      <c r="B11" s="15" t="s">
        <v>33</v>
      </c>
      <c r="C11" s="15">
        <v>17</v>
      </c>
      <c r="D11" s="15" t="s">
        <v>21</v>
      </c>
      <c r="E11" s="16" t="s">
        <v>44</v>
      </c>
      <c r="F11" s="15" t="s">
        <v>40</v>
      </c>
      <c r="G11" s="18">
        <v>46418</v>
      </c>
      <c r="H11" s="18">
        <v>46203</v>
      </c>
      <c r="I11" s="15" t="s">
        <v>45</v>
      </c>
      <c r="J11" s="15" t="s">
        <v>18</v>
      </c>
      <c r="K11" s="17">
        <f t="shared" si="0"/>
        <v>1</v>
      </c>
      <c r="L11" s="15" t="s">
        <v>19</v>
      </c>
      <c r="M11" s="15"/>
    </row>
    <row r="12" spans="1:13" ht="55.2" x14ac:dyDescent="0.25">
      <c r="A12" s="15">
        <v>10</v>
      </c>
      <c r="B12" s="15" t="s">
        <v>33</v>
      </c>
      <c r="C12" s="15">
        <v>20</v>
      </c>
      <c r="D12" s="15" t="s">
        <v>28</v>
      </c>
      <c r="E12" s="16" t="s">
        <v>47</v>
      </c>
      <c r="F12" s="15" t="s">
        <v>48</v>
      </c>
      <c r="G12" s="15">
        <v>46387</v>
      </c>
      <c r="H12" s="15">
        <v>46387</v>
      </c>
      <c r="I12" s="15" t="s">
        <v>38</v>
      </c>
      <c r="J12" s="15" t="s">
        <v>18</v>
      </c>
      <c r="K12" s="17">
        <f t="shared" si="0"/>
        <v>1</v>
      </c>
      <c r="L12" s="15" t="s">
        <v>19</v>
      </c>
      <c r="M12" s="15"/>
    </row>
    <row r="13" spans="1:13" ht="27.6" x14ac:dyDescent="0.25">
      <c r="A13" s="15">
        <v>11</v>
      </c>
      <c r="B13" s="15" t="s">
        <v>43</v>
      </c>
      <c r="C13" s="15">
        <v>5</v>
      </c>
      <c r="D13" s="15" t="s">
        <v>14</v>
      </c>
      <c r="E13" s="16" t="s">
        <v>50</v>
      </c>
      <c r="F13" s="15" t="s">
        <v>51</v>
      </c>
      <c r="G13" s="15" t="s">
        <v>52</v>
      </c>
      <c r="H13" s="15" t="s">
        <v>52</v>
      </c>
      <c r="I13" s="15" t="s">
        <v>53</v>
      </c>
      <c r="J13" s="15" t="s">
        <v>18</v>
      </c>
      <c r="K13" s="17">
        <f t="shared" si="0"/>
        <v>1</v>
      </c>
      <c r="L13" s="15" t="s">
        <v>19</v>
      </c>
      <c r="M13" s="15"/>
    </row>
    <row r="14" spans="1:13" x14ac:dyDescent="0.25">
      <c r="A14" s="15">
        <v>12</v>
      </c>
      <c r="B14" s="15" t="s">
        <v>43</v>
      </c>
      <c r="C14" s="15">
        <v>16</v>
      </c>
      <c r="D14" s="15" t="s">
        <v>14</v>
      </c>
      <c r="E14" s="16" t="s">
        <v>54</v>
      </c>
      <c r="F14" s="15" t="s">
        <v>52</v>
      </c>
      <c r="G14" s="15" t="s">
        <v>52</v>
      </c>
      <c r="H14" s="15" t="s">
        <v>52</v>
      </c>
      <c r="I14" s="15" t="s">
        <v>55</v>
      </c>
      <c r="J14" s="15" t="s">
        <v>18</v>
      </c>
      <c r="K14" s="17">
        <f t="shared" si="0"/>
        <v>1</v>
      </c>
      <c r="L14" s="15" t="s">
        <v>19</v>
      </c>
      <c r="M14" s="15"/>
    </row>
    <row r="15" spans="1:13" ht="27.9" customHeight="1" x14ac:dyDescent="0.25">
      <c r="A15" s="15">
        <v>13</v>
      </c>
      <c r="B15" s="15" t="s">
        <v>43</v>
      </c>
      <c r="C15" s="15">
        <v>17</v>
      </c>
      <c r="D15" s="15" t="s">
        <v>14</v>
      </c>
      <c r="E15" s="16" t="s">
        <v>56</v>
      </c>
      <c r="F15" s="15" t="s">
        <v>52</v>
      </c>
      <c r="G15" s="15" t="s">
        <v>52</v>
      </c>
      <c r="H15" s="15" t="s">
        <v>52</v>
      </c>
      <c r="I15" s="15" t="s">
        <v>52</v>
      </c>
      <c r="J15" s="15" t="s">
        <v>18</v>
      </c>
      <c r="K15" s="17">
        <f t="shared" si="0"/>
        <v>1</v>
      </c>
      <c r="L15" s="15" t="s">
        <v>23</v>
      </c>
      <c r="M15" s="15"/>
    </row>
    <row r="16" spans="1:13" ht="27.6" x14ac:dyDescent="0.25">
      <c r="A16" s="15">
        <v>14</v>
      </c>
      <c r="B16" s="15" t="s">
        <v>43</v>
      </c>
      <c r="C16" s="15">
        <v>20</v>
      </c>
      <c r="D16" s="15" t="s">
        <v>28</v>
      </c>
      <c r="E16" s="16" t="s">
        <v>58</v>
      </c>
      <c r="F16" s="15" t="s">
        <v>59</v>
      </c>
      <c r="G16" s="15" t="s">
        <v>52</v>
      </c>
      <c r="H16" s="15" t="s">
        <v>52</v>
      </c>
      <c r="I16" s="15" t="s">
        <v>60</v>
      </c>
      <c r="J16" s="15" t="s">
        <v>18</v>
      </c>
      <c r="K16" s="17">
        <f t="shared" si="0"/>
        <v>1</v>
      </c>
      <c r="L16" s="15" t="s">
        <v>19</v>
      </c>
      <c r="M16" s="15"/>
    </row>
    <row r="17" spans="1:13" ht="69" x14ac:dyDescent="0.25">
      <c r="A17" s="15">
        <v>15</v>
      </c>
      <c r="B17" s="15" t="s">
        <v>46</v>
      </c>
      <c r="C17" s="19">
        <v>5</v>
      </c>
      <c r="D17" s="19" t="s">
        <v>14</v>
      </c>
      <c r="E17" s="20" t="s">
        <v>61</v>
      </c>
      <c r="F17" s="21" t="s">
        <v>62</v>
      </c>
      <c r="G17" s="21" t="s">
        <v>63</v>
      </c>
      <c r="H17" s="19"/>
      <c r="I17" s="21" t="s">
        <v>64</v>
      </c>
      <c r="J17" s="19" t="s">
        <v>18</v>
      </c>
      <c r="K17" s="17">
        <f t="shared" si="0"/>
        <v>1</v>
      </c>
      <c r="L17" s="19" t="s">
        <v>23</v>
      </c>
      <c r="M17" s="21" t="s">
        <v>65</v>
      </c>
    </row>
    <row r="18" spans="1:13" ht="27.6" x14ac:dyDescent="0.25">
      <c r="A18" s="15">
        <v>16</v>
      </c>
      <c r="B18" s="15" t="s">
        <v>46</v>
      </c>
      <c r="C18" s="19">
        <v>5</v>
      </c>
      <c r="D18" s="19" t="s">
        <v>14</v>
      </c>
      <c r="E18" s="20" t="s">
        <v>66</v>
      </c>
      <c r="F18" s="21" t="s">
        <v>67</v>
      </c>
      <c r="G18" s="19" t="s">
        <v>68</v>
      </c>
      <c r="H18" s="19" t="s">
        <v>69</v>
      </c>
      <c r="I18" s="21" t="s">
        <v>70</v>
      </c>
      <c r="J18" s="19" t="s">
        <v>18</v>
      </c>
      <c r="K18" s="17">
        <f t="shared" ref="K18:K31" si="1">IF(J18="Concluído",2,IF(J18="Andamento",1,IF(J18="Atrasado",0,"")))</f>
        <v>1</v>
      </c>
      <c r="L18" s="19" t="s">
        <v>19</v>
      </c>
      <c r="M18" s="21"/>
    </row>
    <row r="19" spans="1:13" ht="27.6" x14ac:dyDescent="0.25">
      <c r="A19" s="15">
        <v>17</v>
      </c>
      <c r="B19" s="15" t="s">
        <v>46</v>
      </c>
      <c r="C19" s="19">
        <v>6</v>
      </c>
      <c r="D19" s="19" t="s">
        <v>14</v>
      </c>
      <c r="E19" s="20" t="s">
        <v>71</v>
      </c>
      <c r="F19" s="21" t="s">
        <v>72</v>
      </c>
      <c r="G19" s="19" t="s">
        <v>73</v>
      </c>
      <c r="H19" s="19"/>
      <c r="I19" s="21" t="s">
        <v>70</v>
      </c>
      <c r="J19" s="19" t="s">
        <v>18</v>
      </c>
      <c r="K19" s="17">
        <f t="shared" si="1"/>
        <v>1</v>
      </c>
      <c r="L19" s="19" t="s">
        <v>19</v>
      </c>
      <c r="M19" s="21" t="s">
        <v>74</v>
      </c>
    </row>
    <row r="20" spans="1:13" ht="41.4" x14ac:dyDescent="0.25">
      <c r="A20" s="15">
        <v>18</v>
      </c>
      <c r="B20" s="15" t="s">
        <v>46</v>
      </c>
      <c r="C20" s="19">
        <v>8</v>
      </c>
      <c r="D20" s="19" t="s">
        <v>14</v>
      </c>
      <c r="E20" s="20" t="s">
        <v>75</v>
      </c>
      <c r="F20" s="21" t="s">
        <v>76</v>
      </c>
      <c r="G20" s="19" t="s">
        <v>77</v>
      </c>
      <c r="H20" s="19" t="s">
        <v>77</v>
      </c>
      <c r="I20" s="21" t="s">
        <v>78</v>
      </c>
      <c r="J20" s="19" t="s">
        <v>18</v>
      </c>
      <c r="K20" s="17">
        <f t="shared" si="1"/>
        <v>1</v>
      </c>
      <c r="L20" s="19" t="s">
        <v>19</v>
      </c>
      <c r="M20" s="21" t="s">
        <v>79</v>
      </c>
    </row>
    <row r="21" spans="1:13" ht="69" x14ac:dyDescent="0.25">
      <c r="A21" s="15">
        <v>19</v>
      </c>
      <c r="B21" s="15" t="s">
        <v>46</v>
      </c>
      <c r="C21" s="19">
        <v>10</v>
      </c>
      <c r="D21" s="19" t="s">
        <v>14</v>
      </c>
      <c r="E21" s="20" t="s">
        <v>80</v>
      </c>
      <c r="F21" s="21" t="s">
        <v>62</v>
      </c>
      <c r="G21" s="21" t="s">
        <v>63</v>
      </c>
      <c r="H21" s="19"/>
      <c r="I21" s="21" t="s">
        <v>64</v>
      </c>
      <c r="J21" s="19" t="s">
        <v>18</v>
      </c>
      <c r="K21" s="17">
        <f t="shared" si="1"/>
        <v>1</v>
      </c>
      <c r="L21" s="19" t="s">
        <v>23</v>
      </c>
      <c r="M21" s="21" t="s">
        <v>81</v>
      </c>
    </row>
    <row r="22" spans="1:13" ht="69" x14ac:dyDescent="0.25">
      <c r="A22" s="15">
        <v>20</v>
      </c>
      <c r="B22" s="15" t="s">
        <v>46</v>
      </c>
      <c r="C22" s="19">
        <v>11</v>
      </c>
      <c r="D22" s="19" t="s">
        <v>14</v>
      </c>
      <c r="E22" s="20" t="s">
        <v>82</v>
      </c>
      <c r="F22" s="21" t="s">
        <v>83</v>
      </c>
      <c r="G22" s="21" t="s">
        <v>84</v>
      </c>
      <c r="H22" s="19"/>
      <c r="I22" s="21" t="s">
        <v>85</v>
      </c>
      <c r="J22" s="19" t="s">
        <v>18</v>
      </c>
      <c r="K22" s="17">
        <f t="shared" si="1"/>
        <v>1</v>
      </c>
      <c r="L22" s="19" t="s">
        <v>23</v>
      </c>
      <c r="M22" s="21" t="s">
        <v>81</v>
      </c>
    </row>
    <row r="23" spans="1:13" ht="27.6" x14ac:dyDescent="0.25">
      <c r="A23" s="15">
        <v>21</v>
      </c>
      <c r="B23" s="15" t="s">
        <v>46</v>
      </c>
      <c r="C23" s="19">
        <v>14</v>
      </c>
      <c r="D23" s="19" t="s">
        <v>14</v>
      </c>
      <c r="E23" s="20" t="s">
        <v>86</v>
      </c>
      <c r="F23" s="21" t="s">
        <v>72</v>
      </c>
      <c r="G23" s="19" t="s">
        <v>73</v>
      </c>
      <c r="H23" s="19"/>
      <c r="I23" s="21" t="s">
        <v>70</v>
      </c>
      <c r="J23" s="19" t="s">
        <v>18</v>
      </c>
      <c r="K23" s="17">
        <f t="shared" si="1"/>
        <v>1</v>
      </c>
      <c r="L23" s="19" t="s">
        <v>23</v>
      </c>
      <c r="M23" s="21"/>
    </row>
    <row r="24" spans="1:13" ht="27.6" x14ac:dyDescent="0.25">
      <c r="A24" s="15">
        <v>22</v>
      </c>
      <c r="B24" s="15" t="s">
        <v>46</v>
      </c>
      <c r="C24" s="19">
        <v>15</v>
      </c>
      <c r="D24" s="19" t="s">
        <v>14</v>
      </c>
      <c r="E24" s="20" t="s">
        <v>87</v>
      </c>
      <c r="F24" s="21" t="s">
        <v>88</v>
      </c>
      <c r="G24" s="19" t="s">
        <v>68</v>
      </c>
      <c r="H24" s="19" t="s">
        <v>69</v>
      </c>
      <c r="I24" s="21" t="s">
        <v>78</v>
      </c>
      <c r="J24" s="19" t="s">
        <v>18</v>
      </c>
      <c r="K24" s="17">
        <f t="shared" si="1"/>
        <v>1</v>
      </c>
      <c r="L24" s="19" t="s">
        <v>19</v>
      </c>
      <c r="M24" s="21"/>
    </row>
    <row r="25" spans="1:13" ht="69" x14ac:dyDescent="0.25">
      <c r="A25" s="15">
        <v>23</v>
      </c>
      <c r="B25" s="15" t="s">
        <v>46</v>
      </c>
      <c r="C25" s="19">
        <v>16</v>
      </c>
      <c r="D25" s="19" t="s">
        <v>14</v>
      </c>
      <c r="E25" s="20" t="s">
        <v>89</v>
      </c>
      <c r="F25" s="21" t="s">
        <v>90</v>
      </c>
      <c r="G25" s="21" t="s">
        <v>63</v>
      </c>
      <c r="H25" s="19"/>
      <c r="I25" s="21" t="s">
        <v>64</v>
      </c>
      <c r="J25" s="19" t="s">
        <v>18</v>
      </c>
      <c r="K25" s="17">
        <f t="shared" si="1"/>
        <v>1</v>
      </c>
      <c r="L25" s="19" t="s">
        <v>23</v>
      </c>
      <c r="M25" s="21" t="s">
        <v>81</v>
      </c>
    </row>
    <row r="26" spans="1:13" ht="69" x14ac:dyDescent="0.25">
      <c r="A26" s="15">
        <v>24</v>
      </c>
      <c r="B26" s="15" t="s">
        <v>46</v>
      </c>
      <c r="C26" s="19">
        <v>17</v>
      </c>
      <c r="D26" s="19" t="s">
        <v>14</v>
      </c>
      <c r="E26" s="20" t="s">
        <v>82</v>
      </c>
      <c r="F26" s="21" t="s">
        <v>83</v>
      </c>
      <c r="G26" s="21" t="s">
        <v>84</v>
      </c>
      <c r="H26" s="19"/>
      <c r="I26" s="21" t="s">
        <v>85</v>
      </c>
      <c r="J26" s="19" t="s">
        <v>18</v>
      </c>
      <c r="K26" s="17">
        <f t="shared" ref="K26:K28" si="2">IF(J26="Concluído",2,IF(J26="Andamento",1,IF(J26="Atrasado",0,"")))</f>
        <v>1</v>
      </c>
      <c r="L26" s="19" t="s">
        <v>23</v>
      </c>
      <c r="M26" s="21" t="s">
        <v>81</v>
      </c>
    </row>
    <row r="27" spans="1:13" ht="69" x14ac:dyDescent="0.25">
      <c r="A27" s="15">
        <v>25</v>
      </c>
      <c r="B27" s="15" t="s">
        <v>46</v>
      </c>
      <c r="C27" s="19">
        <v>18</v>
      </c>
      <c r="D27" s="19" t="s">
        <v>14</v>
      </c>
      <c r="E27" s="20" t="s">
        <v>91</v>
      </c>
      <c r="F27" s="21" t="s">
        <v>83</v>
      </c>
      <c r="G27" s="21" t="s">
        <v>92</v>
      </c>
      <c r="H27" s="19"/>
      <c r="I27" s="21" t="s">
        <v>93</v>
      </c>
      <c r="J27" s="19" t="s">
        <v>18</v>
      </c>
      <c r="K27" s="17">
        <f t="shared" si="2"/>
        <v>1</v>
      </c>
      <c r="L27" s="19" t="s">
        <v>23</v>
      </c>
      <c r="M27" s="21" t="s">
        <v>81</v>
      </c>
    </row>
    <row r="28" spans="1:13" ht="69" x14ac:dyDescent="0.25">
      <c r="A28" s="15">
        <v>26</v>
      </c>
      <c r="B28" s="15" t="s">
        <v>46</v>
      </c>
      <c r="C28" s="19">
        <v>18</v>
      </c>
      <c r="D28" s="19" t="s">
        <v>14</v>
      </c>
      <c r="E28" s="20" t="s">
        <v>94</v>
      </c>
      <c r="F28" s="21" t="s">
        <v>83</v>
      </c>
      <c r="G28" s="21" t="s">
        <v>84</v>
      </c>
      <c r="H28" s="19"/>
      <c r="I28" s="21" t="s">
        <v>85</v>
      </c>
      <c r="J28" s="19" t="s">
        <v>18</v>
      </c>
      <c r="K28" s="17">
        <f t="shared" si="2"/>
        <v>1</v>
      </c>
      <c r="L28" s="19" t="s">
        <v>23</v>
      </c>
      <c r="M28" s="21" t="s">
        <v>81</v>
      </c>
    </row>
    <row r="29" spans="1:13" ht="27.6" x14ac:dyDescent="0.3">
      <c r="A29" s="15">
        <v>27</v>
      </c>
      <c r="B29" s="15" t="s">
        <v>46</v>
      </c>
      <c r="C29" s="19">
        <v>19</v>
      </c>
      <c r="D29" s="19" t="s">
        <v>28</v>
      </c>
      <c r="E29" s="22" t="s">
        <v>95</v>
      </c>
      <c r="F29" s="21" t="s">
        <v>96</v>
      </c>
      <c r="G29" s="19" t="s">
        <v>68</v>
      </c>
      <c r="H29" s="23">
        <v>46295</v>
      </c>
      <c r="I29" s="21" t="s">
        <v>97</v>
      </c>
      <c r="J29" s="24" t="s">
        <v>18</v>
      </c>
      <c r="K29" s="17">
        <f t="shared" si="1"/>
        <v>1</v>
      </c>
      <c r="L29" s="19"/>
      <c r="M29" s="21"/>
    </row>
    <row r="30" spans="1:13" ht="69" x14ac:dyDescent="0.25">
      <c r="A30" s="15">
        <v>28</v>
      </c>
      <c r="B30" s="15" t="s">
        <v>46</v>
      </c>
      <c r="C30" s="19">
        <v>21</v>
      </c>
      <c r="D30" s="19" t="s">
        <v>28</v>
      </c>
      <c r="E30" s="20" t="s">
        <v>98</v>
      </c>
      <c r="F30" s="21" t="s">
        <v>62</v>
      </c>
      <c r="G30" s="21" t="s">
        <v>63</v>
      </c>
      <c r="H30" s="19"/>
      <c r="I30" s="21" t="s">
        <v>64</v>
      </c>
      <c r="J30" s="19" t="s">
        <v>18</v>
      </c>
      <c r="K30" s="17">
        <f t="shared" si="1"/>
        <v>1</v>
      </c>
      <c r="L30" s="19" t="s">
        <v>23</v>
      </c>
      <c r="M30" s="21" t="s">
        <v>81</v>
      </c>
    </row>
    <row r="31" spans="1:13" ht="69" x14ac:dyDescent="0.25">
      <c r="A31" s="15">
        <v>29</v>
      </c>
      <c r="B31" s="15" t="s">
        <v>46</v>
      </c>
      <c r="C31" s="19">
        <v>27</v>
      </c>
      <c r="D31" s="19" t="s">
        <v>28</v>
      </c>
      <c r="E31" s="20" t="s">
        <v>99</v>
      </c>
      <c r="F31" s="21" t="s">
        <v>72</v>
      </c>
      <c r="G31" s="21" t="s">
        <v>63</v>
      </c>
      <c r="H31" s="19"/>
      <c r="I31" s="21" t="s">
        <v>64</v>
      </c>
      <c r="J31" s="19" t="s">
        <v>18</v>
      </c>
      <c r="K31" s="17">
        <f t="shared" si="1"/>
        <v>1</v>
      </c>
      <c r="L31" s="19" t="s">
        <v>23</v>
      </c>
      <c r="M31" s="21" t="s">
        <v>65</v>
      </c>
    </row>
    <row r="32" spans="1:13" ht="27.6" x14ac:dyDescent="0.25">
      <c r="A32" s="15">
        <v>30</v>
      </c>
      <c r="B32" s="15" t="s">
        <v>46</v>
      </c>
      <c r="C32" s="19">
        <v>29</v>
      </c>
      <c r="D32" s="19" t="s">
        <v>28</v>
      </c>
      <c r="E32" s="20" t="s">
        <v>100</v>
      </c>
      <c r="F32" s="21" t="s">
        <v>101</v>
      </c>
      <c r="G32" s="19" t="s">
        <v>102</v>
      </c>
      <c r="H32" s="23">
        <v>46295</v>
      </c>
      <c r="I32" s="21" t="s">
        <v>97</v>
      </c>
      <c r="J32" s="19" t="s">
        <v>18</v>
      </c>
      <c r="K32" s="17">
        <f t="shared" ref="K32:K34" si="3">IF(J32="Concluído",2,IF(J32="Andamento",1,IF(J32="Atrasado",0,"")))</f>
        <v>1</v>
      </c>
      <c r="L32" s="19"/>
      <c r="M32" s="21"/>
    </row>
    <row r="33" spans="1:13" ht="27.6" x14ac:dyDescent="0.25">
      <c r="A33" s="15">
        <v>31</v>
      </c>
      <c r="B33" s="15" t="s">
        <v>46</v>
      </c>
      <c r="C33" s="19">
        <v>29</v>
      </c>
      <c r="D33" s="19" t="s">
        <v>28</v>
      </c>
      <c r="E33" s="20" t="s">
        <v>103</v>
      </c>
      <c r="F33" s="21" t="s">
        <v>101</v>
      </c>
      <c r="G33" s="19" t="s">
        <v>102</v>
      </c>
      <c r="H33" s="23">
        <v>46295</v>
      </c>
      <c r="I33" s="21" t="s">
        <v>104</v>
      </c>
      <c r="J33" s="19" t="s">
        <v>18</v>
      </c>
      <c r="K33" s="17">
        <f t="shared" si="3"/>
        <v>1</v>
      </c>
      <c r="L33" s="19"/>
      <c r="M33" s="21"/>
    </row>
    <row r="34" spans="1:13" ht="27" customHeight="1" x14ac:dyDescent="0.25">
      <c r="A34" s="15">
        <v>32</v>
      </c>
      <c r="B34" s="15" t="s">
        <v>46</v>
      </c>
      <c r="C34" s="19">
        <v>3</v>
      </c>
      <c r="D34" s="19" t="s">
        <v>21</v>
      </c>
      <c r="E34" s="22" t="s">
        <v>105</v>
      </c>
      <c r="F34" s="21" t="s">
        <v>101</v>
      </c>
      <c r="G34" s="19" t="s">
        <v>102</v>
      </c>
      <c r="H34" s="23">
        <v>46295</v>
      </c>
      <c r="I34" s="21" t="s">
        <v>106</v>
      </c>
      <c r="J34" s="19" t="s">
        <v>18</v>
      </c>
      <c r="K34" s="17">
        <f t="shared" si="3"/>
        <v>1</v>
      </c>
      <c r="L34" s="19"/>
      <c r="M34" s="21"/>
    </row>
    <row r="35" spans="1:13" ht="27" customHeight="1" x14ac:dyDescent="0.25">
      <c r="A35" s="15">
        <v>33</v>
      </c>
      <c r="B35" s="15" t="s">
        <v>57</v>
      </c>
      <c r="C35" s="19">
        <v>4</v>
      </c>
      <c r="D35" s="19" t="s">
        <v>21</v>
      </c>
      <c r="E35" s="20" t="s">
        <v>107</v>
      </c>
      <c r="F35" s="21" t="s">
        <v>108</v>
      </c>
      <c r="G35" s="25">
        <v>46295</v>
      </c>
      <c r="H35" s="25">
        <v>46356</v>
      </c>
      <c r="I35" s="21" t="s">
        <v>109</v>
      </c>
      <c r="J35" s="19" t="s">
        <v>26</v>
      </c>
      <c r="K35" s="17">
        <f t="shared" ref="K35:K160" si="4">IF(J35="Concluído",2,IF(J35="Andamento",1,IF(J35="Atrasado",0,"")))</f>
        <v>0</v>
      </c>
      <c r="L35" s="19" t="s">
        <v>19</v>
      </c>
      <c r="M35" s="21" t="s">
        <v>110</v>
      </c>
    </row>
    <row r="36" spans="1:13" ht="27" customHeight="1" x14ac:dyDescent="0.25">
      <c r="A36" s="15">
        <v>34</v>
      </c>
      <c r="B36" s="15" t="s">
        <v>57</v>
      </c>
      <c r="C36" s="19">
        <v>4</v>
      </c>
      <c r="D36" s="19" t="s">
        <v>21</v>
      </c>
      <c r="E36" s="20" t="s">
        <v>111</v>
      </c>
      <c r="F36" s="21" t="s">
        <v>112</v>
      </c>
      <c r="G36" s="25">
        <v>46295</v>
      </c>
      <c r="H36" s="25">
        <v>46295</v>
      </c>
      <c r="I36" s="21" t="s">
        <v>113</v>
      </c>
      <c r="J36" s="19" t="s">
        <v>18</v>
      </c>
      <c r="K36" s="17">
        <f t="shared" si="4"/>
        <v>1</v>
      </c>
      <c r="L36" s="19" t="s">
        <v>19</v>
      </c>
      <c r="M36" s="21" t="s">
        <v>114</v>
      </c>
    </row>
    <row r="37" spans="1:13" ht="27" customHeight="1" x14ac:dyDescent="0.25">
      <c r="A37" s="15">
        <v>35</v>
      </c>
      <c r="B37" s="15" t="s">
        <v>57</v>
      </c>
      <c r="C37" s="19">
        <v>7</v>
      </c>
      <c r="D37" s="19" t="s">
        <v>14</v>
      </c>
      <c r="E37" s="20" t="s">
        <v>115</v>
      </c>
      <c r="F37" s="21" t="s">
        <v>116</v>
      </c>
      <c r="G37" s="25">
        <v>46295</v>
      </c>
      <c r="H37" s="25">
        <v>46295</v>
      </c>
      <c r="I37" s="21" t="s">
        <v>117</v>
      </c>
      <c r="J37" s="19" t="s">
        <v>18</v>
      </c>
      <c r="K37" s="17">
        <f t="shared" si="4"/>
        <v>1</v>
      </c>
      <c r="L37" s="19" t="s">
        <v>19</v>
      </c>
      <c r="M37" s="21" t="s">
        <v>118</v>
      </c>
    </row>
    <row r="38" spans="1:13" ht="27" customHeight="1" x14ac:dyDescent="0.25">
      <c r="A38" s="15">
        <v>36</v>
      </c>
      <c r="B38" s="15" t="s">
        <v>57</v>
      </c>
      <c r="C38" s="19">
        <v>7</v>
      </c>
      <c r="D38" s="19" t="s">
        <v>14</v>
      </c>
      <c r="E38" s="20" t="s">
        <v>119</v>
      </c>
      <c r="F38" s="21" t="s">
        <v>120</v>
      </c>
      <c r="G38" s="25">
        <v>46264</v>
      </c>
      <c r="H38" s="25">
        <v>46264</v>
      </c>
      <c r="I38" s="21" t="s">
        <v>121</v>
      </c>
      <c r="J38" s="19" t="s">
        <v>18</v>
      </c>
      <c r="K38" s="17">
        <f t="shared" si="4"/>
        <v>1</v>
      </c>
      <c r="L38" s="19" t="s">
        <v>19</v>
      </c>
      <c r="M38" s="21" t="s">
        <v>122</v>
      </c>
    </row>
    <row r="39" spans="1:13" ht="27" customHeight="1" x14ac:dyDescent="0.3">
      <c r="A39" s="15">
        <v>37</v>
      </c>
      <c r="B39" s="15" t="s">
        <v>57</v>
      </c>
      <c r="C39" s="19">
        <v>7</v>
      </c>
      <c r="D39" s="19" t="s">
        <v>14</v>
      </c>
      <c r="E39" s="20" t="s">
        <v>123</v>
      </c>
      <c r="F39" s="21" t="s">
        <v>124</v>
      </c>
      <c r="G39" s="25">
        <v>46264</v>
      </c>
      <c r="H39" s="25">
        <v>46264</v>
      </c>
      <c r="I39" s="21" t="s">
        <v>125</v>
      </c>
      <c r="J39" s="24" t="s">
        <v>18</v>
      </c>
      <c r="K39" s="17">
        <f t="shared" si="4"/>
        <v>1</v>
      </c>
      <c r="L39" s="19" t="s">
        <v>19</v>
      </c>
      <c r="M39" s="21" t="s">
        <v>126</v>
      </c>
    </row>
    <row r="40" spans="1:13" ht="27" customHeight="1" x14ac:dyDescent="0.3">
      <c r="A40" s="15">
        <v>38</v>
      </c>
      <c r="B40" s="15" t="s">
        <v>57</v>
      </c>
      <c r="C40" s="19">
        <v>7</v>
      </c>
      <c r="D40" s="19" t="s">
        <v>14</v>
      </c>
      <c r="E40" s="20" t="s">
        <v>127</v>
      </c>
      <c r="F40" s="21" t="s">
        <v>128</v>
      </c>
      <c r="G40" s="25">
        <v>46356</v>
      </c>
      <c r="H40" s="25">
        <v>46356</v>
      </c>
      <c r="I40" s="21" t="s">
        <v>129</v>
      </c>
      <c r="J40" s="24" t="s">
        <v>18</v>
      </c>
      <c r="K40" s="17">
        <f t="shared" si="4"/>
        <v>1</v>
      </c>
      <c r="L40" s="19" t="s">
        <v>23</v>
      </c>
      <c r="M40" s="21" t="s">
        <v>130</v>
      </c>
    </row>
    <row r="41" spans="1:13" ht="27" customHeight="1" x14ac:dyDescent="0.3">
      <c r="A41" s="15">
        <v>39</v>
      </c>
      <c r="B41" s="15" t="s">
        <v>57</v>
      </c>
      <c r="C41" s="19">
        <v>10</v>
      </c>
      <c r="D41" s="19" t="s">
        <v>14</v>
      </c>
      <c r="E41" s="20" t="s">
        <v>131</v>
      </c>
      <c r="F41" s="21" t="s">
        <v>132</v>
      </c>
      <c r="G41" s="25">
        <v>46356</v>
      </c>
      <c r="H41" s="25">
        <v>46356</v>
      </c>
      <c r="I41" s="21" t="s">
        <v>121</v>
      </c>
      <c r="J41" s="24" t="s">
        <v>18</v>
      </c>
      <c r="K41" s="17">
        <f t="shared" si="4"/>
        <v>1</v>
      </c>
      <c r="L41" s="19" t="s">
        <v>23</v>
      </c>
      <c r="M41" s="21"/>
    </row>
    <row r="42" spans="1:13" ht="27" customHeight="1" x14ac:dyDescent="0.25">
      <c r="A42" s="15">
        <v>40</v>
      </c>
      <c r="B42" s="15" t="s">
        <v>57</v>
      </c>
      <c r="C42" s="19">
        <v>11</v>
      </c>
      <c r="D42" s="19" t="s">
        <v>14</v>
      </c>
      <c r="E42" s="20" t="s">
        <v>133</v>
      </c>
      <c r="F42" s="21" t="s">
        <v>108</v>
      </c>
      <c r="G42" s="25">
        <v>46356</v>
      </c>
      <c r="H42" s="25">
        <v>46356</v>
      </c>
      <c r="I42" s="21" t="s">
        <v>129</v>
      </c>
      <c r="J42" s="19" t="s">
        <v>18</v>
      </c>
      <c r="K42" s="17">
        <f t="shared" si="4"/>
        <v>1</v>
      </c>
      <c r="L42" s="19" t="s">
        <v>19</v>
      </c>
      <c r="M42" s="21" t="s">
        <v>134</v>
      </c>
    </row>
    <row r="43" spans="1:13" ht="27" customHeight="1" x14ac:dyDescent="0.3">
      <c r="A43" s="15">
        <v>41</v>
      </c>
      <c r="B43" s="15" t="s">
        <v>57</v>
      </c>
      <c r="C43" s="19">
        <v>13</v>
      </c>
      <c r="D43" s="19" t="s">
        <v>14</v>
      </c>
      <c r="E43" s="22" t="s">
        <v>135</v>
      </c>
      <c r="F43" s="21" t="s">
        <v>128</v>
      </c>
      <c r="G43" s="25">
        <v>46356</v>
      </c>
      <c r="H43" s="25">
        <v>46356</v>
      </c>
      <c r="I43" s="21" t="s">
        <v>129</v>
      </c>
      <c r="J43" s="24" t="s">
        <v>18</v>
      </c>
      <c r="K43" s="17">
        <f t="shared" si="4"/>
        <v>1</v>
      </c>
      <c r="L43" s="19" t="s">
        <v>23</v>
      </c>
      <c r="M43" s="21" t="s">
        <v>136</v>
      </c>
    </row>
    <row r="44" spans="1:13" ht="27" customHeight="1" x14ac:dyDescent="0.3">
      <c r="A44" s="15">
        <v>42</v>
      </c>
      <c r="B44" s="15" t="s">
        <v>57</v>
      </c>
      <c r="C44" s="19">
        <v>15</v>
      </c>
      <c r="D44" s="19" t="s">
        <v>14</v>
      </c>
      <c r="E44" s="22" t="s">
        <v>137</v>
      </c>
      <c r="F44" s="21" t="s">
        <v>124</v>
      </c>
      <c r="G44" s="25">
        <v>46264</v>
      </c>
      <c r="H44" s="25">
        <v>46264</v>
      </c>
      <c r="I44" s="21" t="s">
        <v>125</v>
      </c>
      <c r="J44" s="24" t="s">
        <v>18</v>
      </c>
      <c r="K44" s="17">
        <f t="shared" si="4"/>
        <v>1</v>
      </c>
      <c r="L44" s="19" t="s">
        <v>19</v>
      </c>
      <c r="M44" s="21" t="s">
        <v>138</v>
      </c>
    </row>
    <row r="45" spans="1:13" ht="27" customHeight="1" x14ac:dyDescent="0.3">
      <c r="A45" s="15">
        <v>43</v>
      </c>
      <c r="B45" s="15" t="s">
        <v>57</v>
      </c>
      <c r="C45" s="19">
        <v>18</v>
      </c>
      <c r="D45" s="19" t="s">
        <v>14</v>
      </c>
      <c r="E45" s="22" t="s">
        <v>139</v>
      </c>
      <c r="F45" s="21" t="s">
        <v>128</v>
      </c>
      <c r="G45" s="25">
        <v>46356</v>
      </c>
      <c r="H45" s="25">
        <v>46629</v>
      </c>
      <c r="I45" s="21" t="s">
        <v>129</v>
      </c>
      <c r="J45" s="24" t="s">
        <v>18</v>
      </c>
      <c r="K45" s="17">
        <f t="shared" si="4"/>
        <v>1</v>
      </c>
      <c r="L45" s="19" t="s">
        <v>23</v>
      </c>
      <c r="M45" s="21"/>
    </row>
    <row r="46" spans="1:13" ht="27" customHeight="1" x14ac:dyDescent="0.3">
      <c r="A46" s="15">
        <v>44</v>
      </c>
      <c r="B46" s="15" t="s">
        <v>57</v>
      </c>
      <c r="C46" s="19">
        <v>19</v>
      </c>
      <c r="D46" s="19" t="s">
        <v>28</v>
      </c>
      <c r="E46" s="22" t="s">
        <v>140</v>
      </c>
      <c r="F46" s="21" t="s">
        <v>141</v>
      </c>
      <c r="G46" s="25">
        <v>46356</v>
      </c>
      <c r="H46" s="25">
        <v>46356</v>
      </c>
      <c r="I46" s="21" t="s">
        <v>142</v>
      </c>
      <c r="J46" s="24" t="s">
        <v>18</v>
      </c>
      <c r="K46" s="17">
        <f t="shared" si="4"/>
        <v>1</v>
      </c>
      <c r="L46" s="19" t="s">
        <v>19</v>
      </c>
      <c r="M46" s="21" t="s">
        <v>143</v>
      </c>
    </row>
    <row r="47" spans="1:13" ht="27" customHeight="1" x14ac:dyDescent="0.3">
      <c r="A47" s="15">
        <v>45</v>
      </c>
      <c r="B47" s="15" t="s">
        <v>57</v>
      </c>
      <c r="C47" s="19">
        <v>23</v>
      </c>
      <c r="D47" s="19" t="s">
        <v>28</v>
      </c>
      <c r="E47" s="22" t="s">
        <v>144</v>
      </c>
      <c r="F47" s="21" t="s">
        <v>141</v>
      </c>
      <c r="G47" s="25">
        <v>46356</v>
      </c>
      <c r="H47" s="25">
        <v>46356</v>
      </c>
      <c r="I47" s="21" t="s">
        <v>145</v>
      </c>
      <c r="J47" s="24" t="s">
        <v>18</v>
      </c>
      <c r="K47" s="17">
        <f t="shared" si="4"/>
        <v>1</v>
      </c>
      <c r="L47" s="19" t="s">
        <v>19</v>
      </c>
      <c r="M47" s="21"/>
    </row>
    <row r="48" spans="1:13" ht="27" customHeight="1" x14ac:dyDescent="0.3">
      <c r="A48" s="15">
        <v>46</v>
      </c>
      <c r="B48" s="15" t="s">
        <v>57</v>
      </c>
      <c r="C48" s="19">
        <v>27</v>
      </c>
      <c r="D48" s="19" t="s">
        <v>28</v>
      </c>
      <c r="E48" s="22" t="s">
        <v>146</v>
      </c>
      <c r="F48" s="21" t="s">
        <v>141</v>
      </c>
      <c r="G48" s="25">
        <v>46295</v>
      </c>
      <c r="H48" s="25">
        <v>46295</v>
      </c>
      <c r="I48" s="21" t="s">
        <v>145</v>
      </c>
      <c r="J48" s="24" t="s">
        <v>18</v>
      </c>
      <c r="K48" s="17">
        <f t="shared" si="4"/>
        <v>1</v>
      </c>
      <c r="L48" s="19" t="s">
        <v>19</v>
      </c>
      <c r="M48" s="21"/>
    </row>
    <row r="49" spans="1:13" ht="27" customHeight="1" x14ac:dyDescent="0.3">
      <c r="A49" s="15">
        <v>47</v>
      </c>
      <c r="B49" s="27" t="s">
        <v>49</v>
      </c>
      <c r="C49" s="19">
        <v>4</v>
      </c>
      <c r="D49" s="19" t="s">
        <v>14</v>
      </c>
      <c r="E49" s="20" t="s">
        <v>147</v>
      </c>
      <c r="F49" s="21"/>
      <c r="G49" s="25"/>
      <c r="H49" s="25"/>
      <c r="I49" s="21"/>
      <c r="J49" s="24"/>
      <c r="K49" s="17"/>
      <c r="L49" s="19"/>
      <c r="M49" s="21"/>
    </row>
    <row r="50" spans="1:13" ht="27" customHeight="1" x14ac:dyDescent="0.3">
      <c r="A50" s="15">
        <v>48</v>
      </c>
      <c r="B50" s="27" t="s">
        <v>49</v>
      </c>
      <c r="C50" s="19">
        <v>5</v>
      </c>
      <c r="D50" s="19" t="s">
        <v>14</v>
      </c>
      <c r="E50" s="20" t="s">
        <v>148</v>
      </c>
      <c r="F50" s="21" t="s">
        <v>203</v>
      </c>
      <c r="G50" s="25">
        <v>46295</v>
      </c>
      <c r="H50" s="25"/>
      <c r="I50" s="21" t="s">
        <v>129</v>
      </c>
      <c r="J50" s="24" t="s">
        <v>18</v>
      </c>
      <c r="K50" s="17"/>
      <c r="L50" s="19"/>
      <c r="M50" s="21"/>
    </row>
    <row r="51" spans="1:13" ht="27" customHeight="1" x14ac:dyDescent="0.3">
      <c r="A51" s="15">
        <v>49</v>
      </c>
      <c r="B51" s="27" t="s">
        <v>49</v>
      </c>
      <c r="C51" s="19">
        <v>7</v>
      </c>
      <c r="D51" s="19" t="s">
        <v>14</v>
      </c>
      <c r="E51" s="20" t="s">
        <v>148</v>
      </c>
      <c r="F51" s="21" t="s">
        <v>203</v>
      </c>
      <c r="G51" s="25">
        <v>46295</v>
      </c>
      <c r="H51" s="25"/>
      <c r="I51" s="21" t="s">
        <v>129</v>
      </c>
      <c r="J51" s="24" t="s">
        <v>18</v>
      </c>
      <c r="K51" s="17"/>
      <c r="L51" s="19"/>
      <c r="M51" s="21"/>
    </row>
    <row r="52" spans="1:13" ht="27" customHeight="1" x14ac:dyDescent="0.3">
      <c r="A52" s="15">
        <v>50</v>
      </c>
      <c r="B52" s="27" t="s">
        <v>49</v>
      </c>
      <c r="C52" s="19">
        <v>10</v>
      </c>
      <c r="D52" s="19" t="s">
        <v>14</v>
      </c>
      <c r="E52" s="20" t="s">
        <v>149</v>
      </c>
      <c r="F52" s="21" t="s">
        <v>203</v>
      </c>
      <c r="G52" s="25">
        <v>46295</v>
      </c>
      <c r="H52" s="25"/>
      <c r="I52" s="21" t="s">
        <v>129</v>
      </c>
      <c r="J52" s="24" t="s">
        <v>18</v>
      </c>
      <c r="K52" s="17"/>
      <c r="L52" s="19"/>
      <c r="M52" s="21"/>
    </row>
    <row r="53" spans="1:13" ht="27" customHeight="1" x14ac:dyDescent="0.3">
      <c r="A53" s="15">
        <v>51</v>
      </c>
      <c r="B53" s="27" t="s">
        <v>49</v>
      </c>
      <c r="C53" s="19">
        <v>12</v>
      </c>
      <c r="D53" s="19" t="s">
        <v>21</v>
      </c>
      <c r="E53" s="20" t="s">
        <v>150</v>
      </c>
      <c r="F53" s="21" t="s">
        <v>203</v>
      </c>
      <c r="G53" s="25">
        <v>46295</v>
      </c>
      <c r="H53" s="25"/>
      <c r="I53" s="21" t="s">
        <v>129</v>
      </c>
      <c r="J53" s="24" t="s">
        <v>18</v>
      </c>
      <c r="K53" s="17"/>
      <c r="L53" s="19"/>
      <c r="M53" s="21"/>
    </row>
    <row r="54" spans="1:13" ht="27" customHeight="1" x14ac:dyDescent="0.3">
      <c r="A54" s="15">
        <v>52</v>
      </c>
      <c r="B54" s="27" t="s">
        <v>49</v>
      </c>
      <c r="C54" s="19">
        <v>15</v>
      </c>
      <c r="D54" s="19" t="s">
        <v>28</v>
      </c>
      <c r="E54" s="20" t="s">
        <v>151</v>
      </c>
      <c r="F54" s="21" t="s">
        <v>204</v>
      </c>
      <c r="G54" s="25">
        <v>46325</v>
      </c>
      <c r="H54" s="25"/>
      <c r="I54" s="21" t="s">
        <v>205</v>
      </c>
      <c r="J54" s="24" t="s">
        <v>18</v>
      </c>
      <c r="K54" s="17"/>
      <c r="L54" s="19"/>
      <c r="M54" s="21"/>
    </row>
    <row r="55" spans="1:13" ht="27" customHeight="1" x14ac:dyDescent="0.3">
      <c r="A55" s="15">
        <v>53</v>
      </c>
      <c r="B55" s="27" t="s">
        <v>49</v>
      </c>
      <c r="C55" s="19">
        <v>16</v>
      </c>
      <c r="D55" s="19" t="s">
        <v>28</v>
      </c>
      <c r="E55" s="20" t="s">
        <v>151</v>
      </c>
      <c r="F55" s="21" t="s">
        <v>204</v>
      </c>
      <c r="G55" s="25">
        <v>46325</v>
      </c>
      <c r="H55" s="25"/>
      <c r="I55" s="21" t="s">
        <v>205</v>
      </c>
      <c r="J55" s="24" t="s">
        <v>18</v>
      </c>
      <c r="K55" s="17"/>
      <c r="L55" s="19"/>
      <c r="M55" s="21"/>
    </row>
    <row r="56" spans="1:13" ht="27" customHeight="1" x14ac:dyDescent="0.3">
      <c r="A56" s="15">
        <v>54</v>
      </c>
      <c r="B56" s="27" t="s">
        <v>49</v>
      </c>
      <c r="C56" s="19">
        <v>24</v>
      </c>
      <c r="D56" s="19" t="s">
        <v>28</v>
      </c>
      <c r="E56" s="20" t="s">
        <v>151</v>
      </c>
      <c r="F56" s="21" t="s">
        <v>204</v>
      </c>
      <c r="G56" s="25">
        <v>46325</v>
      </c>
      <c r="H56" s="25"/>
      <c r="I56" s="21" t="s">
        <v>205</v>
      </c>
      <c r="J56" s="24" t="s">
        <v>18</v>
      </c>
      <c r="K56" s="17"/>
      <c r="L56" s="19"/>
      <c r="M56" s="21"/>
    </row>
    <row r="57" spans="1:13" ht="27" customHeight="1" x14ac:dyDescent="0.3">
      <c r="A57" s="15">
        <v>55</v>
      </c>
      <c r="B57" s="27" t="s">
        <v>49</v>
      </c>
      <c r="C57" s="19">
        <v>24</v>
      </c>
      <c r="D57" s="19" t="s">
        <v>28</v>
      </c>
      <c r="E57" s="20" t="s">
        <v>152</v>
      </c>
      <c r="F57" s="21" t="s">
        <v>204</v>
      </c>
      <c r="G57" s="25">
        <v>46325</v>
      </c>
      <c r="H57" s="25"/>
      <c r="I57" s="21" t="s">
        <v>205</v>
      </c>
      <c r="J57" s="24" t="s">
        <v>18</v>
      </c>
      <c r="K57" s="17"/>
      <c r="L57" s="19"/>
      <c r="M57" s="21"/>
    </row>
    <row r="58" spans="1:13" ht="27" customHeight="1" x14ac:dyDescent="0.3">
      <c r="A58" s="15">
        <v>56</v>
      </c>
      <c r="B58" s="27" t="s">
        <v>49</v>
      </c>
      <c r="C58" s="19">
        <v>25</v>
      </c>
      <c r="D58" s="19" t="s">
        <v>28</v>
      </c>
      <c r="E58" s="20" t="s">
        <v>153</v>
      </c>
      <c r="F58" s="21" t="s">
        <v>204</v>
      </c>
      <c r="G58" s="25">
        <v>46325</v>
      </c>
      <c r="H58" s="25"/>
      <c r="I58" s="21" t="s">
        <v>205</v>
      </c>
      <c r="J58" s="24" t="s">
        <v>18</v>
      </c>
      <c r="K58" s="17"/>
      <c r="L58" s="19"/>
      <c r="M58" s="21"/>
    </row>
    <row r="59" spans="1:13" ht="27" customHeight="1" x14ac:dyDescent="0.3">
      <c r="A59" s="15">
        <v>57</v>
      </c>
      <c r="B59" s="27" t="s">
        <v>49</v>
      </c>
      <c r="C59" s="19">
        <v>30</v>
      </c>
      <c r="D59" s="19" t="s">
        <v>14</v>
      </c>
      <c r="E59" s="20" t="s">
        <v>154</v>
      </c>
      <c r="F59" s="21" t="s">
        <v>204</v>
      </c>
      <c r="G59" s="25">
        <v>46325</v>
      </c>
      <c r="H59" s="25"/>
      <c r="I59" s="21" t="s">
        <v>205</v>
      </c>
      <c r="J59" s="24" t="s">
        <v>18</v>
      </c>
      <c r="K59" s="17"/>
      <c r="L59" s="19"/>
      <c r="M59" s="21"/>
    </row>
    <row r="60" spans="1:13" ht="27" customHeight="1" x14ac:dyDescent="0.3">
      <c r="A60" s="15">
        <v>58</v>
      </c>
      <c r="B60" s="27" t="s">
        <v>49</v>
      </c>
      <c r="C60" s="19">
        <v>36</v>
      </c>
      <c r="D60" s="19" t="s">
        <v>28</v>
      </c>
      <c r="E60" s="20" t="s">
        <v>155</v>
      </c>
      <c r="F60" s="21" t="s">
        <v>204</v>
      </c>
      <c r="G60" s="25">
        <v>46325</v>
      </c>
      <c r="H60" s="25"/>
      <c r="I60" s="21" t="s">
        <v>205</v>
      </c>
      <c r="J60" s="24" t="s">
        <v>18</v>
      </c>
      <c r="K60" s="17"/>
      <c r="L60" s="19"/>
      <c r="M60" s="21"/>
    </row>
    <row r="61" spans="1:13" ht="27" customHeight="1" x14ac:dyDescent="0.3">
      <c r="A61" s="15">
        <v>59</v>
      </c>
      <c r="B61" s="27" t="s">
        <v>49</v>
      </c>
      <c r="C61" s="19">
        <v>38</v>
      </c>
      <c r="D61" s="19" t="s">
        <v>14</v>
      </c>
      <c r="E61" s="20" t="s">
        <v>156</v>
      </c>
      <c r="F61" s="21" t="s">
        <v>204</v>
      </c>
      <c r="G61" s="25">
        <v>46325</v>
      </c>
      <c r="H61" s="25"/>
      <c r="I61" s="21" t="s">
        <v>205</v>
      </c>
      <c r="J61" s="24" t="s">
        <v>18</v>
      </c>
      <c r="K61" s="17"/>
      <c r="L61" s="19"/>
      <c r="M61" s="21"/>
    </row>
    <row r="62" spans="1:13" ht="27" customHeight="1" x14ac:dyDescent="0.3">
      <c r="A62" s="15">
        <v>60</v>
      </c>
      <c r="B62" s="27" t="s">
        <v>49</v>
      </c>
      <c r="C62" s="19">
        <v>42</v>
      </c>
      <c r="D62" s="19" t="s">
        <v>28</v>
      </c>
      <c r="E62" s="20" t="s">
        <v>157</v>
      </c>
      <c r="F62" s="21" t="s">
        <v>204</v>
      </c>
      <c r="G62" s="25">
        <v>46325</v>
      </c>
      <c r="H62" s="25"/>
      <c r="I62" s="21" t="s">
        <v>205</v>
      </c>
      <c r="J62" s="24" t="s">
        <v>18</v>
      </c>
      <c r="K62" s="17"/>
      <c r="L62" s="19"/>
      <c r="M62" s="21"/>
    </row>
    <row r="63" spans="1:13" s="3" customFormat="1" ht="55.5" customHeight="1" x14ac:dyDescent="0.25">
      <c r="A63" s="15">
        <v>61</v>
      </c>
      <c r="B63" s="27" t="s">
        <v>22</v>
      </c>
      <c r="C63" s="19">
        <v>14</v>
      </c>
      <c r="D63" s="19" t="s">
        <v>14</v>
      </c>
      <c r="E63" s="20" t="s">
        <v>158</v>
      </c>
      <c r="F63" s="21" t="s">
        <v>221</v>
      </c>
      <c r="G63" s="25">
        <v>46389</v>
      </c>
      <c r="H63" s="25">
        <v>46568</v>
      </c>
      <c r="I63" s="21" t="s">
        <v>205</v>
      </c>
      <c r="J63" s="19" t="s">
        <v>25</v>
      </c>
      <c r="K63" s="17"/>
      <c r="L63" s="19" t="s">
        <v>19</v>
      </c>
      <c r="M63" s="21" t="s">
        <v>222</v>
      </c>
    </row>
    <row r="64" spans="1:13" s="3" customFormat="1" ht="48" customHeight="1" x14ac:dyDescent="0.25">
      <c r="A64" s="15">
        <v>62</v>
      </c>
      <c r="B64" s="27" t="s">
        <v>22</v>
      </c>
      <c r="C64" s="19">
        <v>15</v>
      </c>
      <c r="D64" s="19" t="s">
        <v>14</v>
      </c>
      <c r="E64" s="20" t="s">
        <v>158</v>
      </c>
      <c r="F64" s="21" t="s">
        <v>221</v>
      </c>
      <c r="G64" s="25">
        <v>46389</v>
      </c>
      <c r="H64" s="25">
        <v>46568</v>
      </c>
      <c r="I64" s="21" t="s">
        <v>205</v>
      </c>
      <c r="J64" s="19" t="s">
        <v>18</v>
      </c>
      <c r="K64" s="17"/>
      <c r="L64" s="19" t="s">
        <v>19</v>
      </c>
      <c r="M64" s="21" t="s">
        <v>222</v>
      </c>
    </row>
    <row r="65" spans="1:13" s="3" customFormat="1" ht="50.4" customHeight="1" x14ac:dyDescent="0.25">
      <c r="A65" s="15">
        <v>63</v>
      </c>
      <c r="B65" s="27" t="s">
        <v>22</v>
      </c>
      <c r="C65" s="19">
        <v>16</v>
      </c>
      <c r="D65" s="19" t="s">
        <v>14</v>
      </c>
      <c r="E65" s="20" t="s">
        <v>158</v>
      </c>
      <c r="F65" s="21" t="s">
        <v>221</v>
      </c>
      <c r="G65" s="25">
        <v>46389</v>
      </c>
      <c r="H65" s="25">
        <v>46568</v>
      </c>
      <c r="I65" s="21" t="s">
        <v>205</v>
      </c>
      <c r="J65" s="19" t="s">
        <v>18</v>
      </c>
      <c r="K65" s="17"/>
      <c r="L65" s="19" t="s">
        <v>19</v>
      </c>
      <c r="M65" s="21" t="s">
        <v>222</v>
      </c>
    </row>
    <row r="66" spans="1:13" s="3" customFormat="1" ht="45.9" customHeight="1" x14ac:dyDescent="0.25">
      <c r="A66" s="15">
        <v>64</v>
      </c>
      <c r="B66" s="27" t="s">
        <v>22</v>
      </c>
      <c r="C66" s="19">
        <v>17</v>
      </c>
      <c r="D66" s="19" t="s">
        <v>14</v>
      </c>
      <c r="E66" s="20" t="s">
        <v>158</v>
      </c>
      <c r="F66" s="21" t="s">
        <v>221</v>
      </c>
      <c r="G66" s="25">
        <v>46389</v>
      </c>
      <c r="H66" s="25">
        <v>46568</v>
      </c>
      <c r="I66" s="21" t="s">
        <v>205</v>
      </c>
      <c r="J66" s="19" t="s">
        <v>18</v>
      </c>
      <c r="K66" s="17"/>
      <c r="L66" s="19" t="s">
        <v>19</v>
      </c>
      <c r="M66" s="21" t="s">
        <v>222</v>
      </c>
    </row>
    <row r="67" spans="1:13" s="3" customFormat="1" ht="68.400000000000006" customHeight="1" x14ac:dyDescent="0.25">
      <c r="A67" s="15">
        <v>65</v>
      </c>
      <c r="B67" s="27" t="s">
        <v>22</v>
      </c>
      <c r="C67" s="19">
        <v>19</v>
      </c>
      <c r="D67" s="19" t="s">
        <v>14</v>
      </c>
      <c r="E67" s="20"/>
      <c r="F67" s="21" t="s">
        <v>221</v>
      </c>
      <c r="G67" s="25">
        <v>46389</v>
      </c>
      <c r="H67" s="25">
        <v>46568</v>
      </c>
      <c r="I67" s="21" t="s">
        <v>205</v>
      </c>
      <c r="J67" s="19" t="s">
        <v>18</v>
      </c>
      <c r="K67" s="17"/>
      <c r="L67" s="19" t="s">
        <v>19</v>
      </c>
      <c r="M67" s="21" t="s">
        <v>222</v>
      </c>
    </row>
    <row r="68" spans="1:13" s="3" customFormat="1" ht="54" customHeight="1" x14ac:dyDescent="0.25">
      <c r="A68" s="15">
        <v>66</v>
      </c>
      <c r="B68" s="27" t="s">
        <v>22</v>
      </c>
      <c r="C68" s="19">
        <v>25</v>
      </c>
      <c r="D68" s="19" t="s">
        <v>14</v>
      </c>
      <c r="E68" s="20" t="s">
        <v>159</v>
      </c>
      <c r="F68" s="21" t="s">
        <v>141</v>
      </c>
      <c r="G68" s="25">
        <v>46692</v>
      </c>
      <c r="H68" s="25">
        <v>46692</v>
      </c>
      <c r="I68" s="21" t="s">
        <v>223</v>
      </c>
      <c r="J68" s="19" t="s">
        <v>18</v>
      </c>
      <c r="K68" s="17"/>
      <c r="L68" s="19" t="s">
        <v>23</v>
      </c>
      <c r="M68" s="21" t="s">
        <v>224</v>
      </c>
    </row>
    <row r="69" spans="1:13" s="3" customFormat="1" ht="27" customHeight="1" x14ac:dyDescent="0.25">
      <c r="A69" s="15">
        <v>67</v>
      </c>
      <c r="B69" s="27" t="s">
        <v>22</v>
      </c>
      <c r="C69" s="19">
        <v>31</v>
      </c>
      <c r="D69" s="19" t="s">
        <v>14</v>
      </c>
      <c r="E69" s="20" t="s">
        <v>160</v>
      </c>
      <c r="F69" s="21"/>
      <c r="G69" s="25"/>
      <c r="H69" s="25"/>
      <c r="I69" s="21"/>
      <c r="J69" s="19"/>
      <c r="K69" s="17"/>
      <c r="L69" s="19"/>
      <c r="M69" s="21"/>
    </row>
    <row r="70" spans="1:13" s="3" customFormat="1" ht="27" customHeight="1" x14ac:dyDescent="0.25">
      <c r="A70" s="15">
        <v>68</v>
      </c>
      <c r="B70" s="27" t="s">
        <v>35</v>
      </c>
      <c r="C70" s="19">
        <v>2</v>
      </c>
      <c r="D70" s="19" t="s">
        <v>21</v>
      </c>
      <c r="E70" s="20" t="s">
        <v>161</v>
      </c>
      <c r="F70" s="21"/>
      <c r="G70" s="25"/>
      <c r="H70" s="25"/>
      <c r="I70" s="21"/>
      <c r="J70" s="19"/>
      <c r="K70" s="17"/>
      <c r="L70" s="19"/>
      <c r="M70" s="21"/>
    </row>
    <row r="71" spans="1:13" s="3" customFormat="1" ht="27" customHeight="1" x14ac:dyDescent="0.25">
      <c r="A71" s="15">
        <v>69</v>
      </c>
      <c r="B71" s="27" t="s">
        <v>35</v>
      </c>
      <c r="C71" s="19">
        <v>3</v>
      </c>
      <c r="D71" s="19" t="s">
        <v>21</v>
      </c>
      <c r="E71" s="20" t="s">
        <v>162</v>
      </c>
      <c r="F71" s="21"/>
      <c r="G71" s="25"/>
      <c r="H71" s="25"/>
      <c r="I71" s="21"/>
      <c r="J71" s="19"/>
      <c r="K71" s="17"/>
      <c r="L71" s="19"/>
      <c r="M71" s="21"/>
    </row>
    <row r="72" spans="1:13" s="3" customFormat="1" ht="27" customHeight="1" x14ac:dyDescent="0.25">
      <c r="A72" s="15">
        <v>70</v>
      </c>
      <c r="B72" s="27" t="s">
        <v>35</v>
      </c>
      <c r="C72" s="19">
        <v>4</v>
      </c>
      <c r="D72" s="19" t="s">
        <v>14</v>
      </c>
      <c r="E72" s="20" t="s">
        <v>163</v>
      </c>
      <c r="F72" s="21"/>
      <c r="G72" s="25"/>
      <c r="H72" s="25"/>
      <c r="I72" s="21"/>
      <c r="J72" s="19"/>
      <c r="K72" s="17"/>
      <c r="L72" s="19"/>
      <c r="M72" s="21"/>
    </row>
    <row r="73" spans="1:13" s="3" customFormat="1" ht="27" customHeight="1" x14ac:dyDescent="0.25">
      <c r="A73" s="15">
        <v>71</v>
      </c>
      <c r="B73" s="27" t="s">
        <v>35</v>
      </c>
      <c r="C73" s="19">
        <v>8</v>
      </c>
      <c r="D73" s="19" t="s">
        <v>14</v>
      </c>
      <c r="E73" s="20" t="s">
        <v>164</v>
      </c>
      <c r="F73" s="21"/>
      <c r="G73" s="25"/>
      <c r="H73" s="25"/>
      <c r="I73" s="21"/>
      <c r="J73" s="19"/>
      <c r="K73" s="17"/>
      <c r="L73" s="19"/>
      <c r="M73" s="21"/>
    </row>
    <row r="74" spans="1:13" s="3" customFormat="1" ht="27" customHeight="1" x14ac:dyDescent="0.25">
      <c r="A74" s="15">
        <v>72</v>
      </c>
      <c r="B74" s="27" t="s">
        <v>35</v>
      </c>
      <c r="C74" s="19">
        <v>9</v>
      </c>
      <c r="D74" s="19" t="s">
        <v>14</v>
      </c>
      <c r="E74" s="20" t="s">
        <v>165</v>
      </c>
      <c r="F74" s="21"/>
      <c r="G74" s="25"/>
      <c r="H74" s="25"/>
      <c r="I74" s="21"/>
      <c r="J74" s="19"/>
      <c r="K74" s="17"/>
      <c r="L74" s="19"/>
      <c r="M74" s="21"/>
    </row>
    <row r="75" spans="1:13" s="3" customFormat="1" ht="27" customHeight="1" x14ac:dyDescent="0.25">
      <c r="A75" s="15">
        <v>73</v>
      </c>
      <c r="B75" s="27" t="s">
        <v>35</v>
      </c>
      <c r="C75" s="19">
        <v>15</v>
      </c>
      <c r="D75" s="19" t="s">
        <v>28</v>
      </c>
      <c r="E75" s="20" t="s">
        <v>166</v>
      </c>
      <c r="F75" s="21"/>
      <c r="G75" s="25"/>
      <c r="H75" s="25"/>
      <c r="I75" s="21"/>
      <c r="J75" s="19"/>
      <c r="K75" s="17"/>
      <c r="L75" s="19"/>
      <c r="M75" s="21"/>
    </row>
    <row r="76" spans="1:13" s="3" customFormat="1" ht="27" customHeight="1" x14ac:dyDescent="0.25">
      <c r="A76" s="15">
        <v>74</v>
      </c>
      <c r="B76" s="27" t="s">
        <v>35</v>
      </c>
      <c r="C76" s="19">
        <v>31</v>
      </c>
      <c r="D76" s="19" t="s">
        <v>28</v>
      </c>
      <c r="E76" s="20" t="s">
        <v>167</v>
      </c>
      <c r="F76" s="21"/>
      <c r="G76" s="25"/>
      <c r="H76" s="25"/>
      <c r="I76" s="21"/>
      <c r="J76" s="19"/>
      <c r="K76" s="17"/>
      <c r="L76" s="19"/>
      <c r="M76" s="21"/>
    </row>
    <row r="77" spans="1:13" s="3" customFormat="1" ht="27" customHeight="1" x14ac:dyDescent="0.25">
      <c r="A77" s="15">
        <v>75</v>
      </c>
      <c r="B77" s="27" t="s">
        <v>35</v>
      </c>
      <c r="C77" s="19">
        <v>32</v>
      </c>
      <c r="D77" s="19" t="s">
        <v>28</v>
      </c>
      <c r="E77" s="20" t="s">
        <v>168</v>
      </c>
      <c r="F77" s="21"/>
      <c r="G77" s="25"/>
      <c r="H77" s="25"/>
      <c r="I77" s="21"/>
      <c r="J77" s="19"/>
      <c r="K77" s="17"/>
      <c r="L77" s="19"/>
      <c r="M77" s="21"/>
    </row>
    <row r="78" spans="1:13" s="3" customFormat="1" ht="27" customHeight="1" x14ac:dyDescent="0.25">
      <c r="A78" s="15">
        <v>76</v>
      </c>
      <c r="B78" s="27" t="s">
        <v>31</v>
      </c>
      <c r="C78" s="19">
        <v>2</v>
      </c>
      <c r="D78" s="19" t="s">
        <v>21</v>
      </c>
      <c r="E78" s="20" t="s">
        <v>169</v>
      </c>
      <c r="F78" s="21" t="s">
        <v>206</v>
      </c>
      <c r="G78" s="25" t="s">
        <v>207</v>
      </c>
      <c r="H78" s="25"/>
      <c r="I78" s="21" t="s">
        <v>208</v>
      </c>
      <c r="J78" s="19"/>
      <c r="K78" s="17"/>
      <c r="L78" s="19"/>
      <c r="M78" s="21"/>
    </row>
    <row r="79" spans="1:13" s="3" customFormat="1" ht="27" customHeight="1" x14ac:dyDescent="0.25">
      <c r="A79" s="15">
        <v>77</v>
      </c>
      <c r="B79" s="27" t="s">
        <v>31</v>
      </c>
      <c r="C79" s="19">
        <v>2</v>
      </c>
      <c r="D79" s="19" t="s">
        <v>21</v>
      </c>
      <c r="E79" s="20" t="s">
        <v>170</v>
      </c>
      <c r="F79" s="21" t="s">
        <v>206</v>
      </c>
      <c r="G79" s="25" t="s">
        <v>207</v>
      </c>
      <c r="H79" s="25"/>
      <c r="I79" s="21" t="s">
        <v>209</v>
      </c>
      <c r="J79" s="19"/>
      <c r="K79" s="17"/>
      <c r="L79" s="19"/>
      <c r="M79" s="21"/>
    </row>
    <row r="80" spans="1:13" s="3" customFormat="1" ht="55.2" x14ac:dyDescent="0.25">
      <c r="A80" s="15">
        <v>78</v>
      </c>
      <c r="B80" s="27" t="s">
        <v>31</v>
      </c>
      <c r="C80" s="19">
        <v>3</v>
      </c>
      <c r="D80" s="19" t="s">
        <v>21</v>
      </c>
      <c r="E80" s="20" t="s">
        <v>171</v>
      </c>
      <c r="F80" s="21" t="s">
        <v>206</v>
      </c>
      <c r="G80" s="25" t="s">
        <v>207</v>
      </c>
      <c r="H80" s="25"/>
      <c r="I80" s="21" t="s">
        <v>210</v>
      </c>
      <c r="J80" s="19"/>
      <c r="K80" s="17"/>
      <c r="L80" s="19"/>
      <c r="M80" s="21"/>
    </row>
    <row r="81" spans="1:13" s="3" customFormat="1" ht="165.6" x14ac:dyDescent="0.25">
      <c r="A81" s="15">
        <v>79</v>
      </c>
      <c r="B81" s="27" t="s">
        <v>31</v>
      </c>
      <c r="C81" s="19">
        <v>6</v>
      </c>
      <c r="D81" s="19" t="s">
        <v>21</v>
      </c>
      <c r="E81" s="20" t="s">
        <v>172</v>
      </c>
      <c r="F81" s="21" t="s">
        <v>206</v>
      </c>
      <c r="G81" s="25" t="s">
        <v>207</v>
      </c>
      <c r="H81" s="25"/>
      <c r="I81" s="21" t="s">
        <v>210</v>
      </c>
      <c r="J81" s="19"/>
      <c r="K81" s="17"/>
      <c r="L81" s="19"/>
      <c r="M81" s="21"/>
    </row>
    <row r="82" spans="1:13" s="3" customFormat="1" ht="29.4" customHeight="1" x14ac:dyDescent="0.25">
      <c r="A82" s="15">
        <v>80</v>
      </c>
      <c r="B82" s="27" t="s">
        <v>31</v>
      </c>
      <c r="C82" s="19">
        <v>7</v>
      </c>
      <c r="D82" s="19" t="s">
        <v>14</v>
      </c>
      <c r="E82" s="20" t="s">
        <v>173</v>
      </c>
      <c r="F82" s="21" t="s">
        <v>206</v>
      </c>
      <c r="G82" s="25" t="s">
        <v>207</v>
      </c>
      <c r="H82" s="25"/>
      <c r="I82" s="21" t="s">
        <v>208</v>
      </c>
      <c r="J82" s="19"/>
      <c r="K82" s="17"/>
      <c r="L82" s="19"/>
      <c r="M82" s="21"/>
    </row>
    <row r="83" spans="1:13" s="3" customFormat="1" ht="27" customHeight="1" x14ac:dyDescent="0.25">
      <c r="A83" s="15">
        <v>81</v>
      </c>
      <c r="B83" s="27" t="s">
        <v>31</v>
      </c>
      <c r="C83" s="19">
        <v>7</v>
      </c>
      <c r="D83" s="19" t="s">
        <v>14</v>
      </c>
      <c r="E83" s="20" t="s">
        <v>170</v>
      </c>
      <c r="F83" s="21" t="s">
        <v>206</v>
      </c>
      <c r="G83" s="25" t="s">
        <v>207</v>
      </c>
      <c r="H83" s="25"/>
      <c r="I83" s="21" t="s">
        <v>209</v>
      </c>
      <c r="J83" s="19"/>
      <c r="K83" s="17"/>
      <c r="L83" s="19"/>
      <c r="M83" s="21"/>
    </row>
    <row r="84" spans="1:13" s="3" customFormat="1" ht="82.8" x14ac:dyDescent="0.25">
      <c r="A84" s="15">
        <v>82</v>
      </c>
      <c r="B84" s="27" t="s">
        <v>31</v>
      </c>
      <c r="C84" s="19">
        <v>8</v>
      </c>
      <c r="D84" s="19" t="s">
        <v>14</v>
      </c>
      <c r="E84" s="20" t="s">
        <v>174</v>
      </c>
      <c r="F84" s="21" t="s">
        <v>206</v>
      </c>
      <c r="G84" s="25" t="s">
        <v>211</v>
      </c>
      <c r="H84" s="25"/>
      <c r="I84" s="21" t="s">
        <v>208</v>
      </c>
      <c r="J84" s="19"/>
      <c r="K84" s="17"/>
      <c r="L84" s="19"/>
      <c r="M84" s="21"/>
    </row>
    <row r="85" spans="1:13" s="3" customFormat="1" ht="27" customHeight="1" x14ac:dyDescent="0.25">
      <c r="A85" s="15">
        <v>83</v>
      </c>
      <c r="B85" s="27" t="s">
        <v>31</v>
      </c>
      <c r="C85" s="19">
        <v>9</v>
      </c>
      <c r="D85" s="19" t="s">
        <v>14</v>
      </c>
      <c r="E85" s="20" t="s">
        <v>214</v>
      </c>
      <c r="F85" s="21" t="s">
        <v>206</v>
      </c>
      <c r="G85" s="25" t="s">
        <v>207</v>
      </c>
      <c r="H85" s="25"/>
      <c r="I85" s="21" t="s">
        <v>210</v>
      </c>
      <c r="J85" s="19"/>
      <c r="K85" s="17"/>
      <c r="L85" s="19"/>
      <c r="M85" s="21"/>
    </row>
    <row r="86" spans="1:13" s="3" customFormat="1" ht="27" customHeight="1" x14ac:dyDescent="0.25">
      <c r="A86" s="15">
        <v>84</v>
      </c>
      <c r="B86" s="27" t="s">
        <v>31</v>
      </c>
      <c r="C86" s="19">
        <v>10</v>
      </c>
      <c r="D86" s="19" t="s">
        <v>14</v>
      </c>
      <c r="E86" s="20" t="s">
        <v>175</v>
      </c>
      <c r="F86" s="21" t="s">
        <v>206</v>
      </c>
      <c r="G86" s="25" t="s">
        <v>207</v>
      </c>
      <c r="H86" s="25"/>
      <c r="I86" s="21" t="s">
        <v>208</v>
      </c>
      <c r="J86" s="19"/>
      <c r="K86" s="17"/>
      <c r="L86" s="19"/>
      <c r="M86" s="21"/>
    </row>
    <row r="87" spans="1:13" s="3" customFormat="1" ht="27" customHeight="1" x14ac:dyDescent="0.25">
      <c r="A87" s="15">
        <v>85</v>
      </c>
      <c r="B87" s="27" t="s">
        <v>31</v>
      </c>
      <c r="C87" s="19">
        <v>11</v>
      </c>
      <c r="D87" s="19" t="s">
        <v>14</v>
      </c>
      <c r="E87" s="20" t="s">
        <v>176</v>
      </c>
      <c r="F87" s="21" t="s">
        <v>206</v>
      </c>
      <c r="G87" s="25" t="s">
        <v>207</v>
      </c>
      <c r="H87" s="25"/>
      <c r="I87" s="21" t="s">
        <v>208</v>
      </c>
      <c r="J87" s="19"/>
      <c r="K87" s="17"/>
      <c r="L87" s="19"/>
      <c r="M87" s="21"/>
    </row>
    <row r="88" spans="1:13" s="3" customFormat="1" ht="27" customHeight="1" x14ac:dyDescent="0.25">
      <c r="A88" s="15">
        <v>86</v>
      </c>
      <c r="B88" s="27" t="s">
        <v>31</v>
      </c>
      <c r="C88" s="19">
        <v>19</v>
      </c>
      <c r="D88" s="19" t="s">
        <v>14</v>
      </c>
      <c r="E88" s="20" t="s">
        <v>177</v>
      </c>
      <c r="F88" s="21" t="s">
        <v>212</v>
      </c>
      <c r="G88" s="25">
        <v>46356</v>
      </c>
      <c r="H88" s="25"/>
      <c r="I88" s="21" t="s">
        <v>213</v>
      </c>
      <c r="J88" s="19"/>
      <c r="K88" s="17"/>
      <c r="L88" s="19"/>
      <c r="M88" s="21"/>
    </row>
    <row r="89" spans="1:13" s="3" customFormat="1" ht="27" customHeight="1" x14ac:dyDescent="0.25">
      <c r="A89" s="15">
        <v>87</v>
      </c>
      <c r="B89" s="27" t="s">
        <v>31</v>
      </c>
      <c r="C89" s="19">
        <v>20</v>
      </c>
      <c r="D89" s="19" t="s">
        <v>14</v>
      </c>
      <c r="E89" s="20" t="s">
        <v>177</v>
      </c>
      <c r="F89" s="21" t="s">
        <v>212</v>
      </c>
      <c r="G89" s="25">
        <v>46356</v>
      </c>
      <c r="H89" s="25"/>
      <c r="I89" s="21" t="s">
        <v>213</v>
      </c>
      <c r="J89" s="19"/>
      <c r="K89" s="17"/>
      <c r="L89" s="19"/>
      <c r="M89" s="21"/>
    </row>
    <row r="90" spans="1:13" s="3" customFormat="1" ht="56.25" customHeight="1" x14ac:dyDescent="0.25">
      <c r="A90" s="15">
        <v>88</v>
      </c>
      <c r="B90" s="27" t="s">
        <v>31</v>
      </c>
      <c r="C90" s="19">
        <v>21</v>
      </c>
      <c r="D90" s="19" t="s">
        <v>28</v>
      </c>
      <c r="E90" s="20" t="s">
        <v>178</v>
      </c>
      <c r="F90" s="21" t="s">
        <v>206</v>
      </c>
      <c r="G90" s="25" t="s">
        <v>207</v>
      </c>
      <c r="H90" s="25"/>
      <c r="I90" s="21" t="s">
        <v>210</v>
      </c>
      <c r="J90" s="19"/>
      <c r="K90" s="17"/>
      <c r="L90" s="19"/>
      <c r="M90" s="21"/>
    </row>
    <row r="91" spans="1:13" s="3" customFormat="1" ht="54" customHeight="1" x14ac:dyDescent="0.25">
      <c r="A91" s="15">
        <v>89</v>
      </c>
      <c r="B91" s="27" t="s">
        <v>31</v>
      </c>
      <c r="C91" s="19">
        <v>22</v>
      </c>
      <c r="D91" s="19" t="s">
        <v>28</v>
      </c>
      <c r="E91" s="20" t="s">
        <v>179</v>
      </c>
      <c r="F91" s="21" t="s">
        <v>206</v>
      </c>
      <c r="G91" s="25" t="s">
        <v>207</v>
      </c>
      <c r="H91" s="25"/>
      <c r="I91" s="21" t="s">
        <v>210</v>
      </c>
      <c r="J91" s="19"/>
      <c r="K91" s="17"/>
      <c r="L91" s="19"/>
      <c r="M91" s="21"/>
    </row>
    <row r="92" spans="1:13" s="3" customFormat="1" ht="27" customHeight="1" x14ac:dyDescent="0.25">
      <c r="A92" s="15">
        <v>90</v>
      </c>
      <c r="B92" s="15" t="s">
        <v>29</v>
      </c>
      <c r="C92" s="19">
        <v>8</v>
      </c>
      <c r="D92" s="19" t="s">
        <v>28</v>
      </c>
      <c r="E92" s="20" t="s">
        <v>180</v>
      </c>
      <c r="F92" s="21" t="s">
        <v>181</v>
      </c>
      <c r="G92" s="25">
        <v>46235</v>
      </c>
      <c r="H92" s="25">
        <v>46264</v>
      </c>
      <c r="I92" s="21" t="s">
        <v>182</v>
      </c>
      <c r="J92" s="19" t="s">
        <v>18</v>
      </c>
      <c r="K92" s="17">
        <f>IF(J92="Concluído",2,IF(J92="Andamento",1,IF(J92="Atrasado",0,"")))</f>
        <v>1</v>
      </c>
      <c r="L92" s="19" t="s">
        <v>19</v>
      </c>
      <c r="M92" s="21"/>
    </row>
    <row r="93" spans="1:13" s="3" customFormat="1" ht="69" x14ac:dyDescent="0.25">
      <c r="A93" s="15">
        <v>91</v>
      </c>
      <c r="B93" s="15" t="s">
        <v>29</v>
      </c>
      <c r="C93" s="19">
        <v>9</v>
      </c>
      <c r="D93" s="19" t="s">
        <v>28</v>
      </c>
      <c r="E93" s="20" t="s">
        <v>183</v>
      </c>
      <c r="F93" s="21" t="s">
        <v>141</v>
      </c>
      <c r="G93" s="25">
        <v>46407</v>
      </c>
      <c r="H93" s="25">
        <v>46407</v>
      </c>
      <c r="I93" s="21" t="s">
        <v>184</v>
      </c>
      <c r="J93" s="19" t="s">
        <v>18</v>
      </c>
      <c r="K93" s="17">
        <f t="shared" ref="K93:K103" si="5">IF(J93="Concluído",2,IF(J93="Andamento",1,IF(J93="Atrasado",0,"")))</f>
        <v>1</v>
      </c>
      <c r="L93" s="19" t="s">
        <v>19</v>
      </c>
      <c r="M93" s="21" t="s">
        <v>185</v>
      </c>
    </row>
    <row r="94" spans="1:13" s="3" customFormat="1" ht="27" customHeight="1" x14ac:dyDescent="0.25">
      <c r="A94" s="15">
        <v>92</v>
      </c>
      <c r="B94" s="15" t="s">
        <v>29</v>
      </c>
      <c r="C94" s="19">
        <v>10</v>
      </c>
      <c r="D94" s="19" t="s">
        <v>28</v>
      </c>
      <c r="E94" s="20" t="s">
        <v>186</v>
      </c>
      <c r="F94" s="21" t="s">
        <v>187</v>
      </c>
      <c r="G94" s="25">
        <v>46285</v>
      </c>
      <c r="H94" s="25">
        <v>46285</v>
      </c>
      <c r="I94" s="21" t="s">
        <v>182</v>
      </c>
      <c r="J94" s="19" t="s">
        <v>18</v>
      </c>
      <c r="K94" s="17">
        <f t="shared" si="5"/>
        <v>1</v>
      </c>
      <c r="L94" s="19" t="s">
        <v>19</v>
      </c>
      <c r="M94" s="21" t="s">
        <v>188</v>
      </c>
    </row>
    <row r="95" spans="1:13" s="3" customFormat="1" ht="27" customHeight="1" x14ac:dyDescent="0.25">
      <c r="A95" s="15">
        <v>93</v>
      </c>
      <c r="B95" s="15" t="s">
        <v>29</v>
      </c>
      <c r="C95" s="19">
        <v>11</v>
      </c>
      <c r="D95" s="19" t="s">
        <v>14</v>
      </c>
      <c r="E95" s="20" t="s">
        <v>189</v>
      </c>
      <c r="F95" s="21" t="s">
        <v>190</v>
      </c>
      <c r="G95" s="25">
        <v>46558</v>
      </c>
      <c r="H95" s="25">
        <v>46558</v>
      </c>
      <c r="I95" s="21" t="s">
        <v>184</v>
      </c>
      <c r="J95" s="19" t="s">
        <v>18</v>
      </c>
      <c r="K95" s="17">
        <f t="shared" si="5"/>
        <v>1</v>
      </c>
      <c r="L95" s="19" t="s">
        <v>23</v>
      </c>
      <c r="M95" s="21" t="s">
        <v>191</v>
      </c>
    </row>
    <row r="96" spans="1:13" s="3" customFormat="1" ht="27" customHeight="1" x14ac:dyDescent="0.25">
      <c r="A96" s="15">
        <v>94</v>
      </c>
      <c r="B96" s="15" t="s">
        <v>29</v>
      </c>
      <c r="C96" s="19">
        <v>14</v>
      </c>
      <c r="D96" s="19" t="s">
        <v>14</v>
      </c>
      <c r="E96" s="20" t="s">
        <v>192</v>
      </c>
      <c r="F96" s="21"/>
      <c r="G96" s="25"/>
      <c r="H96" s="25"/>
      <c r="I96" s="21"/>
      <c r="J96" s="19"/>
      <c r="K96" s="17" t="str">
        <f t="shared" si="5"/>
        <v/>
      </c>
      <c r="L96" s="19"/>
      <c r="M96" s="21"/>
    </row>
    <row r="97" spans="1:13" s="3" customFormat="1" ht="87" customHeight="1" x14ac:dyDescent="0.25">
      <c r="A97" s="15">
        <v>95</v>
      </c>
      <c r="B97" s="15" t="s">
        <v>29</v>
      </c>
      <c r="C97" s="19">
        <v>15</v>
      </c>
      <c r="D97" s="19" t="s">
        <v>14</v>
      </c>
      <c r="E97" s="20" t="s">
        <v>193</v>
      </c>
      <c r="F97" s="21" t="s">
        <v>190</v>
      </c>
      <c r="G97" s="25">
        <v>46264</v>
      </c>
      <c r="H97" s="25">
        <v>46356</v>
      </c>
      <c r="I97" s="21" t="s">
        <v>184</v>
      </c>
      <c r="J97" s="19" t="s">
        <v>18</v>
      </c>
      <c r="K97" s="17">
        <f t="shared" si="5"/>
        <v>1</v>
      </c>
      <c r="L97" s="19" t="s">
        <v>19</v>
      </c>
      <c r="M97" s="21"/>
    </row>
    <row r="98" spans="1:13" s="3" customFormat="1" ht="27.6" x14ac:dyDescent="0.25">
      <c r="A98" s="15">
        <v>96</v>
      </c>
      <c r="B98" s="15" t="s">
        <v>29</v>
      </c>
      <c r="C98" s="19">
        <v>16</v>
      </c>
      <c r="D98" s="19" t="s">
        <v>14</v>
      </c>
      <c r="E98" s="26" t="s">
        <v>194</v>
      </c>
      <c r="F98" s="21" t="s">
        <v>187</v>
      </c>
      <c r="G98" s="25"/>
      <c r="H98" s="25"/>
      <c r="I98" s="21" t="s">
        <v>182</v>
      </c>
      <c r="J98" s="19"/>
      <c r="K98" s="17" t="str">
        <f t="shared" si="5"/>
        <v/>
      </c>
      <c r="L98" s="19"/>
      <c r="M98" s="21"/>
    </row>
    <row r="99" spans="1:13" s="3" customFormat="1" ht="27.6" x14ac:dyDescent="0.25">
      <c r="A99" s="15">
        <v>97</v>
      </c>
      <c r="B99" s="15" t="s">
        <v>29</v>
      </c>
      <c r="C99" s="19">
        <v>17</v>
      </c>
      <c r="D99" s="19" t="s">
        <v>14</v>
      </c>
      <c r="E99" s="20" t="s">
        <v>195</v>
      </c>
      <c r="F99" s="21" t="s">
        <v>187</v>
      </c>
      <c r="G99" s="25"/>
      <c r="H99" s="25"/>
      <c r="I99" s="21"/>
      <c r="J99" s="19"/>
      <c r="K99" s="17" t="str">
        <f t="shared" si="5"/>
        <v/>
      </c>
      <c r="L99" s="19"/>
      <c r="M99" s="21"/>
    </row>
    <row r="100" spans="1:13" s="3" customFormat="1" ht="41.4" x14ac:dyDescent="0.25">
      <c r="A100" s="15">
        <v>98</v>
      </c>
      <c r="B100" s="15" t="s">
        <v>29</v>
      </c>
      <c r="C100" s="19">
        <v>18</v>
      </c>
      <c r="D100" s="19" t="s">
        <v>28</v>
      </c>
      <c r="E100" s="20" t="s">
        <v>196</v>
      </c>
      <c r="F100" s="21" t="s">
        <v>187</v>
      </c>
      <c r="G100" s="25">
        <v>46663</v>
      </c>
      <c r="H100" s="25">
        <v>46449</v>
      </c>
      <c r="I100" s="21" t="s">
        <v>184</v>
      </c>
      <c r="J100" s="19" t="s">
        <v>18</v>
      </c>
      <c r="K100" s="17">
        <f t="shared" si="5"/>
        <v>1</v>
      </c>
      <c r="L100" s="19" t="s">
        <v>23</v>
      </c>
      <c r="M100" s="21" t="s">
        <v>197</v>
      </c>
    </row>
    <row r="101" spans="1:13" s="3" customFormat="1" ht="27" customHeight="1" x14ac:dyDescent="0.25">
      <c r="A101" s="15">
        <v>99</v>
      </c>
      <c r="B101" s="15" t="s">
        <v>29</v>
      </c>
      <c r="C101" s="19">
        <v>20</v>
      </c>
      <c r="D101" s="19" t="s">
        <v>14</v>
      </c>
      <c r="E101" s="20" t="s">
        <v>198</v>
      </c>
      <c r="F101" s="21" t="s">
        <v>187</v>
      </c>
      <c r="G101" s="25">
        <v>46298</v>
      </c>
      <c r="H101" s="25">
        <v>46390</v>
      </c>
      <c r="I101" s="21" t="s">
        <v>184</v>
      </c>
      <c r="J101" s="19" t="s">
        <v>18</v>
      </c>
      <c r="K101" s="17">
        <f t="shared" si="5"/>
        <v>1</v>
      </c>
      <c r="L101" s="19" t="s">
        <v>23</v>
      </c>
      <c r="M101" s="21" t="s">
        <v>197</v>
      </c>
    </row>
    <row r="102" spans="1:13" s="3" customFormat="1" ht="27" customHeight="1" x14ac:dyDescent="0.25">
      <c r="A102" s="15">
        <v>100</v>
      </c>
      <c r="B102" s="15" t="s">
        <v>29</v>
      </c>
      <c r="C102" s="19">
        <v>22</v>
      </c>
      <c r="D102" s="19" t="s">
        <v>28</v>
      </c>
      <c r="E102" s="20" t="s">
        <v>199</v>
      </c>
      <c r="F102" s="21"/>
      <c r="G102" s="25"/>
      <c r="H102" s="25"/>
      <c r="I102" s="21" t="s">
        <v>182</v>
      </c>
      <c r="J102" s="19"/>
      <c r="K102" s="17" t="str">
        <f t="shared" si="5"/>
        <v/>
      </c>
      <c r="L102" s="19"/>
      <c r="M102" s="21"/>
    </row>
    <row r="103" spans="1:13" s="3" customFormat="1" ht="27" customHeight="1" x14ac:dyDescent="0.25">
      <c r="A103" s="15">
        <v>101</v>
      </c>
      <c r="B103" s="15" t="s">
        <v>29</v>
      </c>
      <c r="C103" s="19">
        <v>27</v>
      </c>
      <c r="D103" s="15" t="s">
        <v>14</v>
      </c>
      <c r="E103" s="20" t="s">
        <v>200</v>
      </c>
      <c r="F103" s="21" t="s">
        <v>181</v>
      </c>
      <c r="G103" s="25">
        <v>46502</v>
      </c>
      <c r="H103" s="25">
        <v>46502</v>
      </c>
      <c r="I103" s="21" t="s">
        <v>182</v>
      </c>
      <c r="J103" s="19" t="s">
        <v>18</v>
      </c>
      <c r="K103" s="17">
        <f t="shared" si="5"/>
        <v>1</v>
      </c>
      <c r="L103" s="19" t="s">
        <v>23</v>
      </c>
      <c r="M103" s="21" t="s">
        <v>201</v>
      </c>
    </row>
    <row r="104" spans="1:13" s="3" customFormat="1" ht="27" customHeight="1" x14ac:dyDescent="0.25">
      <c r="A104" s="7">
        <v>102</v>
      </c>
      <c r="B104" s="9" t="s">
        <v>35</v>
      </c>
      <c r="C104" s="7"/>
      <c r="D104" s="7" t="s">
        <v>14</v>
      </c>
      <c r="E104" s="8" t="s">
        <v>215</v>
      </c>
      <c r="F104" s="9" t="s">
        <v>203</v>
      </c>
      <c r="G104" s="10"/>
      <c r="H104" s="10"/>
      <c r="I104" s="9"/>
      <c r="J104" s="7"/>
      <c r="K104" s="6"/>
      <c r="L104" s="7"/>
      <c r="M104" s="9"/>
    </row>
    <row r="105" spans="1:13" s="3" customFormat="1" ht="27" customHeight="1" x14ac:dyDescent="0.25">
      <c r="A105" s="7">
        <v>103</v>
      </c>
      <c r="B105" s="9" t="s">
        <v>35</v>
      </c>
      <c r="C105" s="7"/>
      <c r="D105" s="7" t="s">
        <v>14</v>
      </c>
      <c r="E105" s="8" t="s">
        <v>216</v>
      </c>
      <c r="F105" s="9" t="s">
        <v>203</v>
      </c>
      <c r="G105" s="10"/>
      <c r="H105" s="10"/>
      <c r="I105" s="9"/>
      <c r="J105" s="7"/>
      <c r="K105" s="6"/>
      <c r="L105" s="7"/>
      <c r="M105" s="9"/>
    </row>
    <row r="106" spans="1:13" s="3" customFormat="1" ht="27" customHeight="1" x14ac:dyDescent="0.25">
      <c r="A106" s="7">
        <v>104</v>
      </c>
      <c r="B106" s="9" t="s">
        <v>35</v>
      </c>
      <c r="C106" s="7"/>
      <c r="D106" s="7" t="s">
        <v>14</v>
      </c>
      <c r="E106" s="8" t="s">
        <v>217</v>
      </c>
      <c r="F106" s="9" t="s">
        <v>203</v>
      </c>
      <c r="G106" s="10"/>
      <c r="H106" s="10"/>
      <c r="I106" s="9"/>
      <c r="J106" s="7"/>
      <c r="K106" s="6"/>
      <c r="L106" s="7"/>
      <c r="M106" s="9"/>
    </row>
    <row r="107" spans="1:13" s="3" customFormat="1" ht="27" customHeight="1" x14ac:dyDescent="0.25">
      <c r="A107" s="7">
        <v>105</v>
      </c>
      <c r="B107" s="5" t="s">
        <v>35</v>
      </c>
      <c r="C107" s="7"/>
      <c r="D107" s="7" t="s">
        <v>14</v>
      </c>
      <c r="E107" s="8" t="s">
        <v>218</v>
      </c>
      <c r="F107" s="9" t="s">
        <v>203</v>
      </c>
      <c r="G107" s="10"/>
      <c r="H107" s="10"/>
      <c r="I107" s="9"/>
      <c r="J107" s="7"/>
      <c r="K107" s="6"/>
      <c r="L107" s="7"/>
      <c r="M107" s="9"/>
    </row>
    <row r="108" spans="1:13" s="3" customFormat="1" ht="27" customHeight="1" x14ac:dyDescent="0.25">
      <c r="A108" s="7">
        <v>106</v>
      </c>
      <c r="B108" s="9" t="s">
        <v>35</v>
      </c>
      <c r="C108" s="7"/>
      <c r="D108" s="7" t="s">
        <v>14</v>
      </c>
      <c r="E108" s="8" t="s">
        <v>219</v>
      </c>
      <c r="F108" s="9" t="s">
        <v>203</v>
      </c>
      <c r="G108" s="10"/>
      <c r="H108" s="10"/>
      <c r="I108" s="9"/>
      <c r="J108" s="7"/>
      <c r="K108" s="6"/>
      <c r="L108" s="7"/>
      <c r="M108" s="9"/>
    </row>
    <row r="109" spans="1:13" s="3" customFormat="1" ht="27" customHeight="1" x14ac:dyDescent="0.25">
      <c r="A109" s="7">
        <v>107</v>
      </c>
      <c r="B109" s="9" t="s">
        <v>35</v>
      </c>
      <c r="C109" s="7"/>
      <c r="D109" s="7" t="s">
        <v>14</v>
      </c>
      <c r="E109" s="8" t="s">
        <v>220</v>
      </c>
      <c r="F109" s="9" t="s">
        <v>203</v>
      </c>
      <c r="G109" s="10"/>
      <c r="H109" s="10"/>
      <c r="I109" s="9"/>
      <c r="J109" s="7"/>
      <c r="K109" s="6"/>
      <c r="L109" s="7"/>
      <c r="M109" s="9"/>
    </row>
    <row r="110" spans="1:13" s="3" customFormat="1" ht="27" customHeight="1" x14ac:dyDescent="0.25">
      <c r="A110" s="7"/>
      <c r="B110" s="9"/>
      <c r="C110" s="7"/>
      <c r="D110" s="7"/>
      <c r="E110" s="8"/>
      <c r="F110" s="9"/>
      <c r="G110" s="10"/>
      <c r="H110" s="10"/>
      <c r="I110" s="9"/>
      <c r="J110" s="7"/>
      <c r="K110" s="6"/>
      <c r="L110" s="7"/>
      <c r="M110" s="9"/>
    </row>
    <row r="111" spans="1:13" s="3" customFormat="1" ht="27" customHeight="1" x14ac:dyDescent="0.25">
      <c r="A111" s="7"/>
      <c r="B111" s="9"/>
      <c r="C111" s="7"/>
      <c r="D111" s="7"/>
      <c r="E111" s="8"/>
      <c r="F111" s="9"/>
      <c r="G111" s="10"/>
      <c r="H111" s="10"/>
      <c r="I111" s="9"/>
      <c r="J111" s="7"/>
      <c r="K111" s="6"/>
      <c r="L111" s="7"/>
      <c r="M111" s="9"/>
    </row>
    <row r="112" spans="1:13" s="3" customFormat="1" ht="27" customHeight="1" x14ac:dyDescent="0.25">
      <c r="A112" s="7"/>
      <c r="B112" s="9"/>
      <c r="C112" s="7"/>
      <c r="D112" s="7"/>
      <c r="E112" s="8"/>
      <c r="F112" s="9"/>
      <c r="G112" s="10"/>
      <c r="H112" s="10"/>
      <c r="I112" s="9"/>
      <c r="J112" s="7"/>
      <c r="K112" s="6"/>
      <c r="L112" s="7"/>
      <c r="M112" s="9"/>
    </row>
    <row r="113" spans="1:13" s="3" customFormat="1" ht="27" customHeight="1" x14ac:dyDescent="0.25">
      <c r="A113" s="7"/>
      <c r="B113" s="9"/>
      <c r="C113" s="7"/>
      <c r="D113" s="7"/>
      <c r="E113" s="8"/>
      <c r="F113" s="9"/>
      <c r="G113" s="10"/>
      <c r="H113" s="10"/>
      <c r="I113" s="9"/>
      <c r="J113" s="7"/>
      <c r="K113" s="6"/>
      <c r="L113" s="7"/>
      <c r="M113" s="9"/>
    </row>
    <row r="114" spans="1:13" s="3" customFormat="1" ht="27" customHeight="1" x14ac:dyDescent="0.25">
      <c r="A114" s="7"/>
      <c r="B114" s="9"/>
      <c r="C114" s="7"/>
      <c r="D114" s="7"/>
      <c r="E114" s="8"/>
      <c r="F114" s="9"/>
      <c r="G114" s="10"/>
      <c r="H114" s="10"/>
      <c r="I114" s="9"/>
      <c r="J114" s="7"/>
      <c r="K114" s="6"/>
      <c r="L114" s="7"/>
      <c r="M114" s="9"/>
    </row>
    <row r="115" spans="1:13" s="3" customFormat="1" ht="27" customHeight="1" x14ac:dyDescent="0.25">
      <c r="A115" s="7"/>
      <c r="B115" s="9"/>
      <c r="C115" s="7"/>
      <c r="D115" s="7"/>
      <c r="E115" s="8"/>
      <c r="F115" s="9"/>
      <c r="G115" s="10"/>
      <c r="H115" s="10"/>
      <c r="I115" s="9"/>
      <c r="J115" s="7"/>
      <c r="K115" s="6"/>
      <c r="L115" s="7"/>
      <c r="M115" s="9"/>
    </row>
    <row r="116" spans="1:13" s="3" customFormat="1" ht="27" customHeight="1" x14ac:dyDescent="0.25">
      <c r="A116" s="7"/>
      <c r="B116" s="9"/>
      <c r="C116" s="7"/>
      <c r="D116" s="7"/>
      <c r="E116" s="8"/>
      <c r="F116" s="9"/>
      <c r="G116" s="10"/>
      <c r="H116" s="10"/>
      <c r="I116" s="9"/>
      <c r="J116" s="7"/>
      <c r="K116" s="6"/>
      <c r="L116" s="7"/>
      <c r="M116" s="9"/>
    </row>
    <row r="117" spans="1:13" s="3" customFormat="1" ht="27" customHeight="1" x14ac:dyDescent="0.25">
      <c r="A117" s="7"/>
      <c r="B117" s="9"/>
      <c r="C117" s="7"/>
      <c r="D117" s="7"/>
      <c r="E117" s="8"/>
      <c r="F117" s="9"/>
      <c r="G117" s="10"/>
      <c r="H117" s="10"/>
      <c r="I117" s="9"/>
      <c r="J117" s="7"/>
      <c r="K117" s="6"/>
      <c r="L117" s="7"/>
      <c r="M117" s="9"/>
    </row>
    <row r="118" spans="1:13" s="3" customFormat="1" ht="27" customHeight="1" x14ac:dyDescent="0.25">
      <c r="A118" s="7"/>
      <c r="B118" s="9"/>
      <c r="C118" s="7"/>
      <c r="D118" s="7"/>
      <c r="E118" s="8"/>
      <c r="F118" s="9"/>
      <c r="G118" s="10"/>
      <c r="H118" s="10"/>
      <c r="I118" s="9"/>
      <c r="J118" s="7"/>
      <c r="K118" s="6"/>
      <c r="L118" s="7"/>
      <c r="M118" s="9"/>
    </row>
    <row r="119" spans="1:13" s="3" customFormat="1" ht="27" customHeight="1" x14ac:dyDescent="0.25">
      <c r="A119" s="7"/>
      <c r="B119" s="9"/>
      <c r="C119" s="7"/>
      <c r="D119" s="7"/>
      <c r="E119" s="8"/>
      <c r="F119" s="9"/>
      <c r="G119" s="10"/>
      <c r="H119" s="10"/>
      <c r="I119" s="9"/>
      <c r="J119" s="7"/>
      <c r="K119" s="6"/>
      <c r="L119" s="7"/>
      <c r="M119" s="9"/>
    </row>
    <row r="120" spans="1:13" s="3" customFormat="1" ht="27" customHeight="1" x14ac:dyDescent="0.25">
      <c r="A120" s="7"/>
      <c r="B120" s="9"/>
      <c r="C120" s="7"/>
      <c r="D120" s="7"/>
      <c r="E120" s="8"/>
      <c r="F120" s="9"/>
      <c r="G120" s="10"/>
      <c r="H120" s="10"/>
      <c r="I120" s="9"/>
      <c r="J120" s="7"/>
      <c r="K120" s="6"/>
      <c r="L120" s="7"/>
      <c r="M120" s="9"/>
    </row>
    <row r="121" spans="1:13" s="3" customFormat="1" ht="27" customHeight="1" x14ac:dyDescent="0.25">
      <c r="A121" s="7"/>
      <c r="B121" s="9"/>
      <c r="C121" s="7"/>
      <c r="D121" s="7"/>
      <c r="E121" s="8"/>
      <c r="F121" s="9"/>
      <c r="G121" s="10"/>
      <c r="H121" s="10"/>
      <c r="I121" s="9"/>
      <c r="J121" s="7"/>
      <c r="K121" s="6"/>
      <c r="L121" s="7"/>
      <c r="M121" s="9"/>
    </row>
    <row r="122" spans="1:13" s="3" customFormat="1" ht="27" customHeight="1" x14ac:dyDescent="0.25">
      <c r="A122" s="7"/>
      <c r="B122" s="9"/>
      <c r="C122" s="7"/>
      <c r="D122" s="7"/>
      <c r="E122" s="8"/>
      <c r="F122" s="9"/>
      <c r="G122" s="10"/>
      <c r="H122" s="10"/>
      <c r="I122" s="9"/>
      <c r="J122" s="7"/>
      <c r="K122" s="6"/>
      <c r="L122" s="7"/>
      <c r="M122" s="9"/>
    </row>
    <row r="123" spans="1:13" s="3" customFormat="1" ht="27" customHeight="1" x14ac:dyDescent="0.25">
      <c r="A123" s="7"/>
      <c r="B123" s="9"/>
      <c r="C123" s="7"/>
      <c r="D123" s="7"/>
      <c r="E123" s="8"/>
      <c r="F123" s="9"/>
      <c r="G123" s="10"/>
      <c r="H123" s="10"/>
      <c r="I123" s="9"/>
      <c r="J123" s="7"/>
      <c r="K123" s="6"/>
      <c r="L123" s="7"/>
      <c r="M123" s="9"/>
    </row>
    <row r="124" spans="1:13" s="3" customFormat="1" ht="27" customHeight="1" x14ac:dyDescent="0.25">
      <c r="A124" s="7"/>
      <c r="B124" s="9"/>
      <c r="C124" s="7"/>
      <c r="D124" s="7"/>
      <c r="E124" s="8"/>
      <c r="F124" s="9"/>
      <c r="G124" s="10"/>
      <c r="H124" s="10"/>
      <c r="I124" s="9"/>
      <c r="J124" s="7"/>
      <c r="K124" s="6"/>
      <c r="L124" s="7"/>
      <c r="M124" s="9"/>
    </row>
    <row r="125" spans="1:13" s="3" customFormat="1" ht="27" customHeight="1" x14ac:dyDescent="0.25">
      <c r="A125" s="7"/>
      <c r="B125" s="9"/>
      <c r="C125" s="7"/>
      <c r="D125" s="7"/>
      <c r="E125" s="8"/>
      <c r="F125" s="9"/>
      <c r="G125" s="10"/>
      <c r="H125" s="10"/>
      <c r="I125" s="9"/>
      <c r="J125" s="7"/>
      <c r="K125" s="6"/>
      <c r="L125" s="7"/>
      <c r="M125" s="9"/>
    </row>
    <row r="126" spans="1:13" s="3" customFormat="1" ht="27" customHeight="1" x14ac:dyDescent="0.25">
      <c r="A126" s="7"/>
      <c r="B126" s="9"/>
      <c r="C126" s="7"/>
      <c r="D126" s="7"/>
      <c r="E126" s="8"/>
      <c r="F126" s="9"/>
      <c r="G126" s="10"/>
      <c r="H126" s="10"/>
      <c r="I126" s="9"/>
      <c r="J126" s="7"/>
      <c r="K126" s="6"/>
      <c r="L126" s="7"/>
      <c r="M126" s="9"/>
    </row>
    <row r="127" spans="1:13" s="3" customFormat="1" ht="27" customHeight="1" x14ac:dyDescent="0.25">
      <c r="A127" s="7"/>
      <c r="B127" s="9"/>
      <c r="C127" s="7"/>
      <c r="D127" s="7"/>
      <c r="E127" s="8"/>
      <c r="F127" s="9"/>
      <c r="G127" s="10"/>
      <c r="H127" s="10"/>
      <c r="I127" s="9"/>
      <c r="J127" s="7"/>
      <c r="K127" s="6"/>
      <c r="L127" s="7"/>
      <c r="M127" s="9"/>
    </row>
    <row r="128" spans="1:13" s="3" customFormat="1" ht="27" customHeight="1" x14ac:dyDescent="0.25">
      <c r="A128" s="7"/>
      <c r="B128" s="9"/>
      <c r="C128" s="7"/>
      <c r="D128" s="7"/>
      <c r="E128" s="8"/>
      <c r="F128" s="9"/>
      <c r="G128" s="10"/>
      <c r="H128" s="10"/>
      <c r="I128" s="9"/>
      <c r="J128" s="7"/>
      <c r="K128" s="6"/>
      <c r="L128" s="7"/>
      <c r="M128" s="9"/>
    </row>
    <row r="129" spans="1:13" s="3" customFormat="1" ht="27" customHeight="1" x14ac:dyDescent="0.25">
      <c r="A129" s="7"/>
      <c r="B129" s="9"/>
      <c r="C129" s="7"/>
      <c r="D129" s="7"/>
      <c r="E129" s="8"/>
      <c r="F129" s="9"/>
      <c r="G129" s="10"/>
      <c r="H129" s="10"/>
      <c r="I129" s="9"/>
      <c r="J129" s="7"/>
      <c r="K129" s="6"/>
      <c r="L129" s="7"/>
      <c r="M129" s="9"/>
    </row>
    <row r="130" spans="1:13" s="3" customFormat="1" ht="27" customHeight="1" x14ac:dyDescent="0.25">
      <c r="A130" s="7"/>
      <c r="B130" s="9"/>
      <c r="C130" s="7"/>
      <c r="D130" s="7"/>
      <c r="E130" s="8"/>
      <c r="F130" s="9"/>
      <c r="G130" s="10"/>
      <c r="H130" s="10"/>
      <c r="I130" s="9"/>
      <c r="J130" s="7"/>
      <c r="K130" s="6"/>
      <c r="L130" s="7"/>
      <c r="M130" s="9"/>
    </row>
    <row r="131" spans="1:13" s="3" customFormat="1" ht="27" customHeight="1" x14ac:dyDescent="0.25">
      <c r="A131" s="7"/>
      <c r="B131" s="9"/>
      <c r="C131" s="7"/>
      <c r="D131" s="7"/>
      <c r="E131" s="8"/>
      <c r="F131" s="9"/>
      <c r="G131" s="10"/>
      <c r="H131" s="10"/>
      <c r="I131" s="9"/>
      <c r="J131" s="7"/>
      <c r="K131" s="6"/>
      <c r="L131" s="7"/>
      <c r="M131" s="9"/>
    </row>
    <row r="132" spans="1:13" s="3" customFormat="1" ht="27" customHeight="1" x14ac:dyDescent="0.25">
      <c r="A132" s="7"/>
      <c r="B132" s="9"/>
      <c r="C132" s="7"/>
      <c r="D132" s="7"/>
      <c r="E132" s="8"/>
      <c r="F132" s="9"/>
      <c r="G132" s="10"/>
      <c r="H132" s="10"/>
      <c r="I132" s="9"/>
      <c r="J132" s="7"/>
      <c r="K132" s="6"/>
      <c r="L132" s="7"/>
      <c r="M132" s="9"/>
    </row>
    <row r="133" spans="1:13" s="3" customFormat="1" ht="27" customHeight="1" x14ac:dyDescent="0.25">
      <c r="A133" s="7"/>
      <c r="B133" s="9"/>
      <c r="C133" s="7"/>
      <c r="D133" s="7"/>
      <c r="E133" s="8"/>
      <c r="F133" s="9"/>
      <c r="G133" s="10"/>
      <c r="H133" s="10"/>
      <c r="I133" s="9"/>
      <c r="J133" s="7"/>
      <c r="K133" s="6"/>
      <c r="L133" s="7"/>
      <c r="M133" s="9"/>
    </row>
    <row r="134" spans="1:13" s="3" customFormat="1" ht="27" customHeight="1" x14ac:dyDescent="0.25">
      <c r="A134" s="7"/>
      <c r="B134" s="9"/>
      <c r="C134" s="7"/>
      <c r="D134" s="7"/>
      <c r="E134" s="8"/>
      <c r="F134" s="9"/>
      <c r="G134" s="10"/>
      <c r="H134" s="10"/>
      <c r="I134" s="9"/>
      <c r="J134" s="7"/>
      <c r="K134" s="6"/>
      <c r="L134" s="7"/>
      <c r="M134" s="9"/>
    </row>
    <row r="135" spans="1:13" s="3" customFormat="1" ht="27" customHeight="1" x14ac:dyDescent="0.25">
      <c r="A135" s="7"/>
      <c r="B135" s="9"/>
      <c r="C135" s="7"/>
      <c r="D135" s="7"/>
      <c r="E135" s="8"/>
      <c r="F135" s="9"/>
      <c r="G135" s="10"/>
      <c r="H135" s="10"/>
      <c r="I135" s="9"/>
      <c r="J135" s="7"/>
      <c r="K135" s="6"/>
      <c r="L135" s="7"/>
      <c r="M135" s="9"/>
    </row>
    <row r="136" spans="1:13" s="3" customFormat="1" ht="27" customHeight="1" x14ac:dyDescent="0.25">
      <c r="A136" s="7"/>
      <c r="B136" s="9"/>
      <c r="C136" s="7"/>
      <c r="D136" s="7"/>
      <c r="E136" s="8"/>
      <c r="F136" s="9"/>
      <c r="G136" s="10"/>
      <c r="H136" s="10"/>
      <c r="I136" s="9"/>
      <c r="J136" s="7"/>
      <c r="K136" s="6"/>
      <c r="L136" s="7"/>
      <c r="M136" s="9"/>
    </row>
    <row r="137" spans="1:13" s="3" customFormat="1" ht="27" customHeight="1" x14ac:dyDescent="0.25">
      <c r="A137" s="7"/>
      <c r="B137" s="9"/>
      <c r="C137" s="7"/>
      <c r="D137" s="7"/>
      <c r="E137" s="8"/>
      <c r="F137" s="9"/>
      <c r="G137" s="10"/>
      <c r="H137" s="10"/>
      <c r="I137" s="9"/>
      <c r="J137" s="7"/>
      <c r="K137" s="6"/>
      <c r="L137" s="7"/>
      <c r="M137" s="9"/>
    </row>
    <row r="138" spans="1:13" s="3" customFormat="1" ht="27" customHeight="1" x14ac:dyDescent="0.25">
      <c r="A138" s="7"/>
      <c r="B138" s="9"/>
      <c r="C138" s="7"/>
      <c r="D138" s="7"/>
      <c r="E138" s="8"/>
      <c r="F138" s="9"/>
      <c r="G138" s="10"/>
      <c r="H138" s="10"/>
      <c r="I138" s="9"/>
      <c r="J138" s="7"/>
      <c r="K138" s="6"/>
      <c r="L138" s="7"/>
      <c r="M138" s="9"/>
    </row>
    <row r="139" spans="1:13" s="3" customFormat="1" ht="27" customHeight="1" x14ac:dyDescent="0.25">
      <c r="A139" s="7"/>
      <c r="B139" s="9"/>
      <c r="C139" s="7"/>
      <c r="D139" s="7"/>
      <c r="E139" s="8"/>
      <c r="F139" s="9"/>
      <c r="G139" s="10"/>
      <c r="H139" s="10"/>
      <c r="I139" s="9"/>
      <c r="J139" s="7"/>
      <c r="K139" s="6"/>
      <c r="L139" s="7"/>
      <c r="M139" s="9"/>
    </row>
    <row r="140" spans="1:13" s="3" customFormat="1" ht="27" customHeight="1" x14ac:dyDescent="0.25">
      <c r="A140" s="7"/>
      <c r="B140" s="9"/>
      <c r="C140" s="7"/>
      <c r="D140" s="7"/>
      <c r="E140" s="8"/>
      <c r="F140" s="9"/>
      <c r="G140" s="10"/>
      <c r="H140" s="10"/>
      <c r="I140" s="9"/>
      <c r="J140" s="7"/>
      <c r="K140" s="6"/>
      <c r="L140" s="7"/>
      <c r="M140" s="9"/>
    </row>
    <row r="141" spans="1:13" s="3" customFormat="1" ht="27" customHeight="1" x14ac:dyDescent="0.25">
      <c r="A141" s="7"/>
      <c r="B141" s="9"/>
      <c r="C141" s="7"/>
      <c r="D141" s="7"/>
      <c r="E141" s="8"/>
      <c r="F141" s="9"/>
      <c r="G141" s="10"/>
      <c r="H141" s="10"/>
      <c r="I141" s="9"/>
      <c r="J141" s="7"/>
      <c r="K141" s="6"/>
      <c r="L141" s="7"/>
      <c r="M141" s="9"/>
    </row>
    <row r="142" spans="1:13" s="3" customFormat="1" ht="27" customHeight="1" x14ac:dyDescent="0.25">
      <c r="A142" s="7"/>
      <c r="B142" s="9"/>
      <c r="C142" s="7"/>
      <c r="D142" s="7"/>
      <c r="E142" s="8"/>
      <c r="F142" s="9"/>
      <c r="G142" s="10"/>
      <c r="H142" s="10"/>
      <c r="I142" s="9"/>
      <c r="J142" s="7"/>
      <c r="K142" s="6"/>
      <c r="L142" s="7"/>
      <c r="M142" s="9"/>
    </row>
    <row r="143" spans="1:13" s="3" customFormat="1" ht="27" customHeight="1" x14ac:dyDescent="0.25">
      <c r="A143" s="7"/>
      <c r="B143" s="9"/>
      <c r="C143" s="7"/>
      <c r="D143" s="7"/>
      <c r="E143" s="8"/>
      <c r="F143" s="9"/>
      <c r="G143" s="10"/>
      <c r="H143" s="10"/>
      <c r="I143" s="9"/>
      <c r="J143" s="7"/>
      <c r="K143" s="6"/>
      <c r="L143" s="7"/>
      <c r="M143" s="9"/>
    </row>
    <row r="144" spans="1:13" s="3" customFormat="1" ht="27" customHeight="1" x14ac:dyDescent="0.25">
      <c r="A144" s="7"/>
      <c r="B144" s="9"/>
      <c r="C144" s="7"/>
      <c r="D144" s="7"/>
      <c r="E144" s="8"/>
      <c r="F144" s="9"/>
      <c r="G144" s="10"/>
      <c r="H144" s="10"/>
      <c r="I144" s="9"/>
      <c r="J144" s="7"/>
      <c r="K144" s="6"/>
      <c r="L144" s="7"/>
      <c r="M144" s="9"/>
    </row>
    <row r="145" spans="1:13" s="3" customFormat="1" ht="27" customHeight="1" x14ac:dyDescent="0.25">
      <c r="A145" s="7"/>
      <c r="B145" s="9"/>
      <c r="C145" s="7"/>
      <c r="D145" s="7"/>
      <c r="E145" s="8"/>
      <c r="F145" s="9"/>
      <c r="G145" s="10"/>
      <c r="H145" s="10"/>
      <c r="I145" s="9"/>
      <c r="J145" s="7"/>
      <c r="K145" s="6"/>
      <c r="L145" s="7"/>
      <c r="M145" s="9"/>
    </row>
    <row r="146" spans="1:13" s="3" customFormat="1" ht="27" customHeight="1" x14ac:dyDescent="0.25">
      <c r="A146" s="7"/>
      <c r="B146" s="9"/>
      <c r="C146" s="7"/>
      <c r="D146" s="7"/>
      <c r="E146" s="8"/>
      <c r="F146" s="9"/>
      <c r="G146" s="10"/>
      <c r="H146" s="10"/>
      <c r="I146" s="9"/>
      <c r="J146" s="7"/>
      <c r="K146" s="6"/>
      <c r="L146" s="7"/>
      <c r="M146" s="9"/>
    </row>
    <row r="147" spans="1:13" s="3" customFormat="1" ht="27" customHeight="1" x14ac:dyDescent="0.25">
      <c r="A147" s="7"/>
      <c r="B147" s="9"/>
      <c r="C147" s="7"/>
      <c r="D147" s="7"/>
      <c r="E147" s="8"/>
      <c r="F147" s="9"/>
      <c r="G147" s="10"/>
      <c r="H147" s="10"/>
      <c r="I147" s="9"/>
      <c r="J147" s="7"/>
      <c r="K147" s="6"/>
      <c r="L147" s="7"/>
      <c r="M147" s="9"/>
    </row>
    <row r="148" spans="1:13" s="3" customFormat="1" ht="27" customHeight="1" x14ac:dyDescent="0.25">
      <c r="A148" s="7"/>
      <c r="B148" s="9"/>
      <c r="C148" s="7"/>
      <c r="D148" s="7"/>
      <c r="E148" s="8"/>
      <c r="F148" s="9"/>
      <c r="G148" s="10"/>
      <c r="H148" s="10"/>
      <c r="I148" s="9"/>
      <c r="J148" s="7"/>
      <c r="K148" s="6"/>
      <c r="L148" s="7"/>
      <c r="M148" s="9"/>
    </row>
    <row r="149" spans="1:13" s="3" customFormat="1" ht="27" customHeight="1" x14ac:dyDescent="0.25">
      <c r="A149" s="7"/>
      <c r="B149" s="9"/>
      <c r="C149" s="7"/>
      <c r="D149" s="7"/>
      <c r="E149" s="8"/>
      <c r="F149" s="9"/>
      <c r="G149" s="10"/>
      <c r="H149" s="10"/>
      <c r="I149" s="9"/>
      <c r="J149" s="7"/>
      <c r="K149" s="6"/>
      <c r="L149" s="7"/>
      <c r="M149" s="9"/>
    </row>
    <row r="150" spans="1:13" s="3" customFormat="1" ht="27" customHeight="1" x14ac:dyDescent="0.25">
      <c r="A150" s="7"/>
      <c r="B150" s="9"/>
      <c r="C150" s="7"/>
      <c r="D150" s="7"/>
      <c r="E150" s="8"/>
      <c r="F150" s="9"/>
      <c r="G150" s="10"/>
      <c r="H150" s="10"/>
      <c r="I150" s="9"/>
      <c r="J150" s="7"/>
      <c r="K150" s="6"/>
      <c r="L150" s="7"/>
      <c r="M150" s="9"/>
    </row>
    <row r="151" spans="1:13" s="3" customFormat="1" ht="27" customHeight="1" x14ac:dyDescent="0.25">
      <c r="A151" s="7"/>
      <c r="B151" s="9"/>
      <c r="C151" s="7"/>
      <c r="D151" s="7"/>
      <c r="E151" s="8"/>
      <c r="F151" s="9"/>
      <c r="G151" s="10"/>
      <c r="H151" s="10"/>
      <c r="I151" s="9"/>
      <c r="J151" s="7"/>
      <c r="K151" s="6"/>
      <c r="L151" s="7"/>
      <c r="M151" s="9"/>
    </row>
    <row r="152" spans="1:13" s="3" customFormat="1" ht="27" customHeight="1" x14ac:dyDescent="0.25">
      <c r="A152" s="7"/>
      <c r="B152" s="9"/>
      <c r="C152" s="7"/>
      <c r="D152" s="7"/>
      <c r="E152" s="8"/>
      <c r="F152" s="9"/>
      <c r="G152" s="10"/>
      <c r="H152" s="10"/>
      <c r="I152" s="9"/>
      <c r="J152" s="7"/>
      <c r="K152" s="6"/>
      <c r="L152" s="7"/>
      <c r="M152" s="9"/>
    </row>
    <row r="153" spans="1:13" s="3" customFormat="1" ht="27" customHeight="1" x14ac:dyDescent="0.25">
      <c r="A153" s="7"/>
      <c r="B153" s="9"/>
      <c r="C153" s="7"/>
      <c r="D153" s="7"/>
      <c r="E153" s="8"/>
      <c r="F153" s="9"/>
      <c r="G153" s="10"/>
      <c r="H153" s="10"/>
      <c r="I153" s="9"/>
      <c r="J153" s="7"/>
      <c r="K153" s="6"/>
      <c r="L153" s="7"/>
      <c r="M153" s="9"/>
    </row>
    <row r="154" spans="1:13" s="3" customFormat="1" ht="27" customHeight="1" x14ac:dyDescent="0.25">
      <c r="A154" s="7"/>
      <c r="B154" s="9"/>
      <c r="C154" s="7"/>
      <c r="D154" s="7"/>
      <c r="E154" s="8"/>
      <c r="F154" s="9"/>
      <c r="G154" s="10"/>
      <c r="H154" s="10"/>
      <c r="I154" s="9"/>
      <c r="J154" s="7"/>
      <c r="K154" s="6"/>
      <c r="L154" s="7"/>
      <c r="M154" s="9"/>
    </row>
    <row r="155" spans="1:13" s="3" customFormat="1" ht="27" customHeight="1" x14ac:dyDescent="0.25">
      <c r="A155" s="7"/>
      <c r="B155" s="9"/>
      <c r="C155" s="7"/>
      <c r="D155" s="7"/>
      <c r="E155" s="8"/>
      <c r="F155" s="9"/>
      <c r="G155" s="10"/>
      <c r="H155" s="10"/>
      <c r="I155" s="9"/>
      <c r="J155" s="7"/>
      <c r="K155" s="6"/>
      <c r="L155" s="7"/>
      <c r="M155" s="9"/>
    </row>
    <row r="156" spans="1:13" s="3" customFormat="1" x14ac:dyDescent="0.25">
      <c r="A156" s="7"/>
      <c r="B156" s="9"/>
      <c r="C156" s="7"/>
      <c r="D156" s="7"/>
      <c r="E156" s="8"/>
      <c r="F156" s="9"/>
      <c r="G156" s="7"/>
      <c r="H156" s="7"/>
      <c r="I156" s="9"/>
      <c r="J156" s="7"/>
      <c r="K156" s="6" t="str">
        <f t="shared" si="4"/>
        <v/>
      </c>
      <c r="L156" s="7"/>
      <c r="M156" s="9"/>
    </row>
    <row r="157" spans="1:13" s="3" customFormat="1" x14ac:dyDescent="0.25">
      <c r="A157" s="7"/>
      <c r="B157" s="9"/>
      <c r="C157" s="7"/>
      <c r="D157" s="7"/>
      <c r="E157" s="8"/>
      <c r="F157" s="9"/>
      <c r="G157" s="7"/>
      <c r="H157" s="7"/>
      <c r="I157" s="9"/>
      <c r="J157" s="7"/>
      <c r="K157" s="6" t="str">
        <f t="shared" si="4"/>
        <v/>
      </c>
      <c r="L157" s="7"/>
      <c r="M157" s="9"/>
    </row>
    <row r="158" spans="1:13" s="3" customFormat="1" x14ac:dyDescent="0.25">
      <c r="A158" s="7"/>
      <c r="B158" s="9"/>
      <c r="C158" s="7"/>
      <c r="D158" s="7"/>
      <c r="E158" s="8"/>
      <c r="F158" s="9"/>
      <c r="G158" s="7"/>
      <c r="H158" s="7"/>
      <c r="I158" s="9"/>
      <c r="J158" s="7"/>
      <c r="K158" s="6" t="str">
        <f t="shared" si="4"/>
        <v/>
      </c>
      <c r="L158" s="7"/>
      <c r="M158" s="9"/>
    </row>
    <row r="159" spans="1:13" s="3" customFormat="1" x14ac:dyDescent="0.25">
      <c r="A159" s="7"/>
      <c r="B159" s="9"/>
      <c r="C159" s="7"/>
      <c r="D159" s="7"/>
      <c r="E159" s="8"/>
      <c r="F159" s="9"/>
      <c r="G159" s="7"/>
      <c r="H159" s="7"/>
      <c r="I159" s="9"/>
      <c r="J159" s="7"/>
      <c r="K159" s="6" t="str">
        <f t="shared" si="4"/>
        <v/>
      </c>
      <c r="L159" s="7"/>
      <c r="M159" s="9"/>
    </row>
    <row r="160" spans="1:13" s="3" customFormat="1" x14ac:dyDescent="0.25">
      <c r="A160" s="7">
        <v>48</v>
      </c>
      <c r="B160" s="9" t="s">
        <v>22</v>
      </c>
      <c r="C160" s="7">
        <v>52</v>
      </c>
      <c r="D160" s="7" t="s">
        <v>28</v>
      </c>
      <c r="E160" s="8" t="s">
        <v>202</v>
      </c>
      <c r="F160" s="9" t="s">
        <v>16</v>
      </c>
      <c r="G160" s="7"/>
      <c r="H160" s="7"/>
      <c r="I160" s="9" t="s">
        <v>17</v>
      </c>
      <c r="J160" s="7" t="s">
        <v>26</v>
      </c>
      <c r="K160" s="6">
        <f t="shared" si="4"/>
        <v>0</v>
      </c>
      <c r="L160" s="7"/>
      <c r="M160" s="9"/>
    </row>
  </sheetData>
  <autoFilter ref="A2:M160" xr:uid="{00000000-0009-0000-0000-000000000000}"/>
  <dataConsolidate/>
  <mergeCells count="2">
    <mergeCell ref="A1:M1"/>
    <mergeCell ref="J2:K2"/>
  </mergeCells>
  <conditionalFormatting sqref="J17:J34">
    <cfRule type="iconSet" priority="7">
      <iconSet>
        <cfvo type="percent" val="0"/>
        <cfvo type="num" val="1"/>
        <cfvo type="num" val="2"/>
      </iconSet>
    </cfRule>
    <cfRule type="iconSet" priority="8">
      <iconSet>
        <cfvo type="percent" val="0"/>
        <cfvo type="percent" val="33"/>
        <cfvo type="percent" val="67"/>
      </iconSet>
    </cfRule>
  </conditionalFormatting>
  <conditionalFormatting sqref="J100">
    <cfRule type="iconSet" priority="1">
      <iconSet>
        <cfvo type="percent" val="0"/>
        <cfvo type="num" val="1"/>
        <cfvo type="num" val="2"/>
      </iconSet>
    </cfRule>
    <cfRule type="iconSet" priority="2">
      <iconSet>
        <cfvo type="percent" val="0"/>
        <cfvo type="percent" val="33"/>
        <cfvo type="percent" val="67"/>
      </iconSet>
    </cfRule>
  </conditionalFormatting>
  <conditionalFormatting sqref="J156:J160">
    <cfRule type="iconSet" priority="10">
      <iconSet>
        <cfvo type="percent" val="0"/>
        <cfvo type="num" val="1"/>
        <cfvo type="num" val="2"/>
      </iconSet>
    </cfRule>
    <cfRule type="iconSet" priority="11">
      <iconSet>
        <cfvo type="percent" val="0"/>
        <cfvo type="percent" val="33"/>
        <cfvo type="percent" val="67"/>
      </iconSet>
    </cfRule>
  </conditionalFormatting>
  <conditionalFormatting sqref="K3:K34">
    <cfRule type="iconSet" priority="6">
      <iconSet showValue="0">
        <cfvo type="percent" val="0"/>
        <cfvo type="num" val="1"/>
        <cfvo type="num" val="2"/>
      </iconSet>
    </cfRule>
  </conditionalFormatting>
  <conditionalFormatting sqref="K100">
    <cfRule type="iconSet" priority="3">
      <iconSet showValue="0">
        <cfvo type="percent" val="0"/>
        <cfvo type="num" val="1"/>
        <cfvo type="num" val="2"/>
      </iconSet>
    </cfRule>
  </conditionalFormatting>
  <dataValidations count="1">
    <dataValidation type="list" allowBlank="1" showInputMessage="1" showErrorMessage="1" sqref="L3:L160 D3:D160 B3:B160 J6:J160" xr:uid="{00000000-0002-0000-0000-000000000000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2" sqref="E22"/>
    </sheetView>
  </sheetViews>
  <sheetFormatPr defaultColWidth="9" defaultRowHeight="14.4" x14ac:dyDescent="0.25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9158df8-04df-4db2-a1ae-ee3949ca3984}" enabled="0" method="" siteId="{49158df8-04df-4db2-a1ae-ee3949ca39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PLANILHA FINAL</vt:lpstr>
      <vt:lpstr>Base de dados</vt:lpstr>
      <vt:lpstr>Calculos_Aux</vt:lpstr>
      <vt:lpstr>Dashboard</vt:lpstr>
      <vt:lpstr>Planilha1</vt:lpstr>
      <vt:lpstr>ELETRICIDADE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Costa Silva</dc:creator>
  <cp:lastModifiedBy>Jhonatan Fagundes</cp:lastModifiedBy>
  <cp:lastPrinted>2026-07-30T10:49:00Z</cp:lastPrinted>
  <dcterms:created xsi:type="dcterms:W3CDTF">2026-07-30T10:48:00Z</dcterms:created>
  <dcterms:modified xsi:type="dcterms:W3CDTF">2026-09-19T03:28:47Z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831DBDAFFE304C628C44B25662B2353B_12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